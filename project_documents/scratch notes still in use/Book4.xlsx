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/Documents/DPhil Work/Academic Work/EnglandCervicalScreeningProject/project_documents/scratch notes still in use/"/>
    </mc:Choice>
  </mc:AlternateContent>
  <xr:revisionPtr revIDLastSave="0" documentId="8_{AE2D63D5-C0A6-5549-9290-C2ABC003C435}" xr6:coauthVersionLast="47" xr6:coauthVersionMax="47" xr10:uidLastSave="{00000000-0000-0000-0000-000000000000}"/>
  <bookViews>
    <workbookView xWindow="0" yWindow="740" windowWidth="29400" windowHeight="18380" xr2:uid="{0155E1AB-24DC-2F44-B3BF-A417F14AD5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19" i="1"/>
  <c r="C13" i="1"/>
  <c r="C7" i="1"/>
  <c r="C6" i="1"/>
</calcChain>
</file>

<file path=xl/sharedStrings.xml><?xml version="1.0" encoding="utf-8"?>
<sst xmlns="http://schemas.openxmlformats.org/spreadsheetml/2006/main" count="16" uniqueCount="16">
  <si>
    <t>..of which were negative</t>
  </si>
  <si>
    <t xml:space="preserve">of which were low grade </t>
  </si>
  <si>
    <t>of which were high grade or worse</t>
  </si>
  <si>
    <t>of which were inadequate</t>
  </si>
  <si>
    <t>source: table 17</t>
  </si>
  <si>
    <t>Total samples analysed in a lab (this is 2023 where primary was LBC)</t>
  </si>
  <si>
    <t>tests/cancer</t>
  </si>
  <si>
    <t>from cancer registration stats</t>
  </si>
  <si>
    <t>proportion of cc diagnoses through sxcreening</t>
  </si>
  <si>
    <t>num cc diagnoses through screening</t>
  </si>
  <si>
    <t>https://www.cancerresearchuk.org/health-professional/cancer-statistics/statistics-by-cancer-type/cervical-cancer</t>
  </si>
  <si>
    <t>tests/cancer accounting for nowt all being screening</t>
  </si>
  <si>
    <t>https://digital.nhs.uk/ndrs/data/data-outputs/cancer-data-hub/cancer-registration-statistics</t>
  </si>
  <si>
    <t>total CCI in england , 2023</t>
  </si>
  <si>
    <t>https://digital.nhs.uk/data-and-information/publications/statistical/cervical-screening-annual/england-2023-24</t>
  </si>
  <si>
    <t>the below is out of interest, but I am assuming all cnacers are diangbosed thorugh screening for my stats so the above is all that really matters for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</si>
</sst>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A952-1748-4349-8DFC-5E92BBE47188}">
  <dimension ref="A3:F21"/>
  <sheetViews>
    <sheetView tabSelected="1" workbookViewId="0">
      <selection activeCell="B15" sqref="B15"/>
    </sheetView>
  </sheetViews>
  <sheetFormatPr baseColWidth="10" defaultRowHeight="16" x14ac:dyDescent="0.2"/>
  <cols>
    <col min="2" max="2" width="56.6640625" bestFit="1" customWidth="1"/>
  </cols>
  <sheetData>
    <row r="3" spans="1:6" x14ac:dyDescent="0.2">
      <c r="A3" t="s">
        <v>5</v>
      </c>
      <c r="C3">
        <v>3348467</v>
      </c>
      <c r="E3" t="s">
        <v>4</v>
      </c>
      <c r="F3" t="s">
        <v>14</v>
      </c>
    </row>
    <row r="4" spans="1:6" x14ac:dyDescent="0.2">
      <c r="B4" t="s">
        <v>0</v>
      </c>
      <c r="C4">
        <v>3149526</v>
      </c>
    </row>
    <row r="5" spans="1:6" x14ac:dyDescent="0.2">
      <c r="B5" s="1" t="s">
        <v>1</v>
      </c>
      <c r="C5" s="1">
        <v>143716</v>
      </c>
    </row>
    <row r="6" spans="1:6" x14ac:dyDescent="0.2">
      <c r="B6" s="1" t="s">
        <v>2</v>
      </c>
      <c r="C6" s="1">
        <f>19029+12361</f>
        <v>31390</v>
      </c>
    </row>
    <row r="7" spans="1:6" x14ac:dyDescent="0.2">
      <c r="B7" t="s">
        <v>3</v>
      </c>
      <c r="C7">
        <f>C3-C4-C5-C6</f>
        <v>23835</v>
      </c>
    </row>
    <row r="11" spans="1:6" x14ac:dyDescent="0.2">
      <c r="B11" t="s">
        <v>13</v>
      </c>
      <c r="C11">
        <v>2384</v>
      </c>
      <c r="E11" t="s">
        <v>7</v>
      </c>
      <c r="F11" t="s">
        <v>12</v>
      </c>
    </row>
    <row r="13" spans="1:6" x14ac:dyDescent="0.2">
      <c r="B13" s="1" t="s">
        <v>6</v>
      </c>
      <c r="C13" s="1">
        <f>C3/C11</f>
        <v>1404.5583053691275</v>
      </c>
    </row>
    <row r="16" spans="1:6" x14ac:dyDescent="0.2">
      <c r="B16" t="s">
        <v>15</v>
      </c>
    </row>
    <row r="18" spans="2:5" x14ac:dyDescent="0.2">
      <c r="B18" t="s">
        <v>8</v>
      </c>
      <c r="C18">
        <v>0.4</v>
      </c>
      <c r="E18" t="s">
        <v>10</v>
      </c>
    </row>
    <row r="19" spans="2:5" x14ac:dyDescent="0.2">
      <c r="B19" t="s">
        <v>9</v>
      </c>
      <c r="C19">
        <f>C18*C11</f>
        <v>953.6</v>
      </c>
    </row>
    <row r="21" spans="2:5" x14ac:dyDescent="0.2">
      <c r="B21" t="s">
        <v>11</v>
      </c>
      <c r="C21">
        <f>C3/C19</f>
        <v>3511.3957634228186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Sturman</dc:creator>
  <cp:lastModifiedBy>Fabian Sturman</cp:lastModifiedBy>
  <dcterms:created xsi:type="dcterms:W3CDTF">2026-08-17T13:31:42Z</dcterms:created>
  <dcterms:modified xsi:type="dcterms:W3CDTF">2026-08-17T14:17:26Z</dcterms:modified>
</cp:coreProperties>
</file>