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25532B27-1E5C-8449-9D95-5DCBC66D86F6}" xr6:coauthVersionLast="47" xr6:coauthVersionMax="47" xr10:uidLastSave="{00000000-0000-0000-0000-000000000000}"/>
  <bookViews>
    <workbookView xWindow="14780" yWindow="920" windowWidth="14480" windowHeight="16880"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5" l="1"/>
  <c r="D25" i="5" s="1"/>
  <c r="F19" i="5"/>
  <c r="G25" i="5"/>
  <c r="D24" i="5"/>
</calcChain>
</file>

<file path=xl/sharedStrings.xml><?xml version="1.0" encoding="utf-8"?>
<sst xmlns="http://schemas.openxmlformats.org/spreadsheetml/2006/main" count="949" uniqueCount="323">
  <si>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</si>
  <si>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</si>
  <si>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</si>
  <si>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</si>
  <si>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</si>
  <si>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</si>
  <si>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</si>
  <si>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</si>
  <si>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</si>
  <si>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</si>
  <si>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</si>
  <si>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</si>
  <si>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</si>
  <si>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</si>
  <si>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</si>
  <si>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</si>
  <si>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</si>
  <si>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</si>
  <si>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</si>
  <si>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</si>
  <si>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</si>
  <si>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</si>
  <si>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</si>
  <si>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</si>
  <si>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</si>
  <si>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</si>
  <si>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</si>
  <si>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</si>
  <si>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</si>
  <si>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</si>
  <si>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</si>
  <si>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</si>
  <si>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</si>
  <si>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</si>
  <si>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</si>
  <si>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</si>
  <si>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</si>
  <si>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</si>
  <si>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</si>
  <si>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</si>
  <si>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</si>
  <si>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</si>
  <si>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</si>
  <si>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</si>
  <si>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</si>
  <si>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</si>
  <si>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</si>
  <si>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</si>
  <si>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</si>
  <si>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</si>
  <si>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</si>
  <si>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</si>
  <si>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</si>
  <si>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</si>
  <si>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</si>
  <si>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</si>
  <si>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</si>
  <si>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</si>
  <si>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</si>
  <si>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</si>
  <si>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</si>
  <si>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</si>
  <si>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</si>
  <si>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</si>
  <si>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</si>
  <si>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</si>
  <si>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</si>
  <si>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</si>
  <si>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</si>
  <si>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</si>
  <si>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</si>
  <si>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</si>
  <si>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</si>
  <si>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</si>
  <si>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</si>
  <si>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</si>
  <si>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</si>
  <si>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</si>
  <si>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</si>
  <si>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</si>
  <si>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</si>
  <si>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</si>
  <si>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</si>
  <si>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</si>
  <si>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</si>
  <si>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</si>
  <si>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</si>
  <si>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</si>
  <si>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</si>
  <si>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</si>
  <si>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</si>
  <si>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</si>
  <si>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</si>
  <si>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</si>
  <si>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</si>
  <si>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</si>
  <si>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</si>
  <si>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</si>
  <si>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</si>
  <si>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</si>
  <si>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</si>
  <si>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</si>
  <si>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</si>
  <si>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</si>
  <si>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</si>
  <si>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</si>
  <si>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</si>
  <si>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</si>
  <si>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</si>
  <si>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</si>
  <si>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</si>
  <si>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</si>
  <si>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</si>
  <si>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</si>
  <si>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</si>
  <si>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</si>
  <si>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</si>
  <si>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</si>
  <si>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</si>
  <si>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</si>
  <si>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</si>
  <si>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</si>
  <si>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</si>
  <si>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</si>
  <si>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</si>
  <si>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</si>
  <si>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</si>
  <si>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</si>
  <si>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</si>
  <si>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</si>
  <si>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</si>
  <si>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</si>
  <si>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</si>
  <si>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</si>
  <si>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</si>
  <si>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</si>
  <si>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</si>
  <si>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</si>
  <si>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</si>
  <si>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</si>
  <si>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</si>
  <si>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</si>
  <si>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</si>
  <si>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</si>
  <si>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</si>
  <si>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</si>
  <si>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</si>
  <si>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</si>
  <si>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</si>
  <si>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</si>
  <si>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</si>
  <si>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</si>
  <si>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</si>
  <si>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</si>
  <si>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</si>
  <si>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</si>
  <si>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</si>
  <si>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</si>
  <si>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</si>
  <si>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</si>
  <si>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</si>
  <si>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</si>
  <si>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</si>
  <si>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</si>
  <si>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</si>
  <si>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</si>
  <si>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</si>
  <si>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</si>
  <si>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</si>
  <si>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</si>
  <si>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</si>
  <si>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</si>
  <si>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</si>
  <si>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</si>
  <si>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</si>
  <si>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</si>
  <si>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</si>
  <si>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</si>
  <si>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</si>
  <si>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</si>
  <si>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</si>
  <si>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</si>
  <si>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</si>
  <si>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</si>
  <si>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</si>
  <si>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</si>
  <si>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</si>
  <si>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</si>
  <si>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</si>
  <si>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</si>
  <si>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</si>
  <si>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</si>
  <si>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</si>
  <si>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</si>
  <si>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</si>
  <si>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</si>
  <si>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</si>
  <si>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</si>
  <si>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</si>
  <si>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</si>
  <si>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</si>
  <si>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</si>
  <si>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</si>
  <si>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</si>
  <si>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</si>
  <si>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</si>
  <si>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</si>
  <si>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</si>
  <si>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</si>
  <si>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</si>
  <si>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</si>
  <si>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</si>
  <si>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</si>
  <si>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</si>
  <si>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</si>
  <si>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</si>
  <si>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</si>
  <si>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</si>
  <si>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</si>
  <si>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</si>
  <si>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</si>
  <si>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</si>
  <si>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</si>
  <si>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</si>
  <si>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</si>
  <si>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</si>
  <si>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</si>
  <si>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</si>
  <si>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</si>
  <si>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</si>
  <si>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</si>
  <si>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</si>
  <si>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</si>
  <si>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</si>
  <si>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</si>
  <si>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</si>
  <si>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</si>
  <si>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</si>
  <si>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</si>
  <si>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</si>
  <si>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</si>
  <si>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</si>
  <si>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</si>
  <si>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</si>
  <si>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</si>
  <si>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</si>
  <si>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</si>
  <si>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</si>
  <si>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</si>
  <si>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</si>
  <si>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</si>
  <si>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</si>
  <si>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</si>
  <si>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</si>
  <si>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</si>
  <si>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</si>
  <si>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</si>
  <si>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</si>
  <si>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</si>
  <si>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</si>
  <si>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</si>
  <si>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</si>
  <si>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</si>
  <si>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</si>
  <si>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</si>
  <si>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</si>
  <si>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</si>
  <si>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</si>
  <si>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</si>
  <si>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</si>
  <si>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</si>
  <si>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</si>
  <si>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</si>
  <si>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bivalent ohr rel_imm</t>
  </si>
  <si>
    <t>quadrivalent ohr rel_imm</t>
  </si>
  <si>
    <t>nonavalent ohr rel_imm</t>
  </si>
  <si>
    <t>These parameters are to be varied together, that is either we model the vaccines to all confer some ohr immunity or to all not.</t>
  </si>
  <si>
    <t>0.8, 0.95</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</si>
  <si>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</si>
  <si>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</si>
  <si>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</si>
  <si>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</si>
  <si>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</si>
  <si>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</si>
  <si>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</si>
  <si>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</si>
  <si>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</si>
  <si>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</si>
  <si>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</si>
  <si>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</si>
  <si>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</si>
  <si>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</si>
  <si>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</si>
  <si>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</si>
  <si>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</si>
  <si>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</si>
  <si>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</si>
  <si>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</si>
  <si>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</si>
  <si>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</si>
  <si>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</si>
  <si>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Simulating to 2055 so that we can apply up to 5-yearly smoothing (if needed) and still trust values computed at year 2050. For calibrations, we set this to 2025 as this is sufficient to cover all years for which we have aquired data</t>
  </si>
  <si>
    <t>HPVsim default value. Our data is reported yearly, so this is enough resolution for data replication+projection - so we leave this unchanged</t>
  </si>
  <si>
    <t>HPVsim default (version 2.2.4)</t>
  </si>
  <si>
    <t>Natsal 3 (see analysis code in GitHub); https://docs.scipy.org/doc/scipy/reference/generated/scipy.stats.exponnorm.html</t>
  </si>
  <si>
    <t>Very little data available to suggest what these values should be, hence calibrating for them. Data online suggests possibly around 25% of men and 15% of women report multiple concurrent relationships at some point,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</si>
  <si>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HPVsim gives deafult values of this parameter of either 5 or 4.5 depending on genotype, so starting the search around 5 seems appropriate, with a large bound on either side allowing for exploration in this dimension of the parameter space</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</si>
  <si>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scheme val="minor"/>
      </rPr>
      <t>, and set use_waning to TRUE</t>
    </r>
  </si>
  <si>
    <t>rel_imm specifies how much immunity each vaccine confers to each specified genotype. Values taken from HPVsim paper, which is informed by the Costa Rica HPV Vaccine trial. Sensitivity analysis considers ohr cross protection of 0.1</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</si>
  <si>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Sensitivity and specificity are 0.7 and 0.96 respectively for detecting HSILs, and 100% sensitivty for detecting cancer; as in analyses in high-income settings (https://pmc.ncbi.nlm.nih.gov/articles/PMC6483676/) and used in the  in Policy1-Cervix model. We therefore model the probability of a normal result as 0.3 for CIN, as 0 for cancerous, and as 0.96 for susceptible and latent. Our pathway modelling makes no distinction between the outcomes 'ascus' and 'abnormal', in both cases leading to colposcopy, so we (arbitarily picking ascus) set 'ascus' probability to always 0. We perform a sensitivity analysis on the cytology parameterisation defined in the HPVsim paper (Appendices, Table G), which assumes slightly lower specificity and higher sensitivity for non-cancer base states (same assumptions for cancer)</t>
  </si>
  <si>
    <t>Sensitivity Analysis on Cytology Parameterisation</t>
  </si>
  <si>
    <t>P(abnormal|cin), for lbc</t>
  </si>
  <si>
    <r>
      <t xml:space="preserve">Probability that a given screening -eligible person will take up screening </t>
    </r>
    <r>
      <rPr>
        <i/>
        <sz val="10"/>
        <color theme="1"/>
        <rFont val="Aptos Narrow"/>
        <scheme val="minor"/>
      </rPr>
      <t>in a given timestep</t>
    </r>
    <r>
      <rPr>
        <sz val="10"/>
        <color theme="1"/>
        <rFont val="Aptos Narrow"/>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</si>
  <si>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</si>
  <si>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scheme val="minor"/>
      </rPr>
      <t xml:space="preserve">. </t>
    </r>
  </si>
  <si>
    <t>Sensitivity Analysis on Initial HPV Prevalence among Men</t>
  </si>
  <si>
    <t>HPV prevalence amongst heterosexual men is less understood than MSM and than women, so alongside the main considered case (broadly stable HPV prevalence in adult years) we consider a case with decreasing HPV prevalence as men age</t>
  </si>
  <si>
    <t>P(normal|susceptible, latent, pre-cin), for lbc</t>
  </si>
  <si>
    <t>Married matrix: our own analysis of NATSAL-3 data. Casual matrix: https://doi.org/10.1016/j.epidem.2018.03.004</t>
  </si>
  <si>
    <t>These parameters are to be varied together to form two cases, as they are two different ways cytology have been modelled in literature</t>
  </si>
  <si>
    <t>P(takes 1st and 2nd dose by age 16)</t>
  </si>
  <si>
    <t>P(takes 1st, 2nd, and 3rd dose by age 16)</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</si>
  <si>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in effect between two and three doses, this is negligable as a difference. Data is used until 2021, beyond which we assume fixed rate of future vaccination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</si>
</sst>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2"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
      <b/>
      <i/>
      <sz val="12"/>
      <color theme="1"/>
      <name val="Aptos Narrow"/>
      <scheme val="minor"/>
    </font>
    <font>
      <sz val="8"/>
      <color theme="1"/>
      <name val="Aptos Narrow"/>
      <scheme val="minor"/>
    </font>
  </fonts>
  <fills count="10">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2CEF0"/>
        <bgColor indexed="64"/>
      </patternFill>
    </fill>
  </fills>
  <borders count="70">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s>
  <cellStyleXfs count="2">
    <xf numFmtId="0" fontId="0" fillId="0" borderId="0"/>
    <xf numFmtId="43" fontId="2" fillId="0" borderId="0" applyFont="0" applyFill="0" applyBorder="0" applyAlignment="0" applyProtection="0"/>
  </cellStyleXfs>
  <cellXfs count="281">
    <xf numFmtId="0" fontId="0" fillId="0" borderId="0" xfId="0"/>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3" fillId="0" borderId="0" xfId="0" applyFont="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1" fillId="0" borderId="31" xfId="0" applyFont="1" applyBorder="1"/>
    <xf numFmtId="0" fontId="1" fillId="0" borderId="16" xfId="0" applyFont="1" applyBorder="1"/>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7" borderId="0" xfId="0" applyFont="1" applyFill="1" applyAlignment="1">
      <alignment wrapText="1"/>
    </xf>
    <xf numFmtId="0" fontId="3" fillId="0" borderId="0" xfId="0" applyFont="1" applyAlignment="1">
      <alignment wrapText="1"/>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3" fillId="7" borderId="53" xfId="0" applyFont="1" applyFill="1" applyBorder="1"/>
    <xf numFmtId="0" fontId="3" fillId="7" borderId="54" xfId="0" applyFont="1" applyFill="1" applyBorder="1"/>
    <xf numFmtId="43" fontId="9" fillId="7" borderId="1" xfId="1" applyFont="1" applyFill="1" applyBorder="1"/>
    <xf numFmtId="0" fontId="1" fillId="0" borderId="66" xfId="0" applyFont="1" applyBorder="1"/>
    <xf numFmtId="0" fontId="1" fillId="0" borderId="67" xfId="0" applyFont="1" applyBorder="1"/>
    <xf numFmtId="0" fontId="1" fillId="0" borderId="68" xfId="0" applyFont="1" applyBorder="1"/>
    <xf numFmtId="0" fontId="5" fillId="0" borderId="0" xfId="0" applyFont="1"/>
    <xf numFmtId="0" fontId="8" fillId="0" borderId="0" xfId="0" applyFont="1"/>
    <xf numFmtId="0" fontId="9" fillId="7" borderId="1" xfId="0" applyFont="1" applyFill="1" applyBorder="1" applyAlignment="1">
      <alignment horizontal="right"/>
    </xf>
    <xf numFmtId="0" fontId="8" fillId="7" borderId="2" xfId="0" applyFont="1" applyFill="1" applyBorder="1" applyAlignment="1">
      <alignment wrapText="1"/>
    </xf>
    <xf numFmtId="0" fontId="8" fillId="7" borderId="3" xfId="0" applyFont="1" applyFill="1" applyBorder="1" applyAlignment="1">
      <alignment wrapText="1"/>
    </xf>
    <xf numFmtId="0" fontId="8" fillId="7" borderId="1" xfId="0" applyFont="1" applyFill="1" applyBorder="1" applyAlignment="1">
      <alignment wrapText="1"/>
    </xf>
    <xf numFmtId="0" fontId="8" fillId="7" borderId="27" xfId="0" applyFont="1" applyFill="1" applyBorder="1" applyAlignment="1">
      <alignment wrapText="1"/>
    </xf>
    <xf numFmtId="0" fontId="8" fillId="7" borderId="21" xfId="0" applyFont="1" applyFill="1" applyBorder="1" applyAlignment="1">
      <alignment wrapText="1"/>
    </xf>
    <xf numFmtId="0" fontId="8" fillId="7" borderId="6" xfId="0" applyFont="1" applyFill="1" applyBorder="1" applyAlignment="1">
      <alignment wrapText="1"/>
    </xf>
    <xf numFmtId="0" fontId="8" fillId="9" borderId="3" xfId="0" applyFont="1" applyFill="1" applyBorder="1" applyAlignment="1">
      <alignment wrapText="1"/>
    </xf>
    <xf numFmtId="0" fontId="9" fillId="5" borderId="9" xfId="0" applyFont="1" applyFill="1" applyBorder="1" applyAlignment="1">
      <alignment wrapText="1"/>
    </xf>
    <xf numFmtId="0" fontId="9" fillId="5" borderId="11" xfId="0" applyFont="1" applyFill="1" applyBorder="1" applyAlignment="1">
      <alignment wrapText="1"/>
    </xf>
    <xf numFmtId="11" fontId="9" fillId="5" borderId="7" xfId="0" applyNumberFormat="1" applyFont="1" applyFill="1" applyBorder="1" applyAlignment="1">
      <alignment wrapText="1"/>
    </xf>
    <xf numFmtId="0" fontId="9" fillId="5" borderId="7" xfId="0" applyFont="1" applyFill="1" applyBorder="1" applyAlignment="1">
      <alignment wrapText="1"/>
    </xf>
    <xf numFmtId="0" fontId="9" fillId="5" borderId="5" xfId="0" applyFont="1" applyFill="1" applyBorder="1" applyAlignment="1">
      <alignment wrapText="1"/>
    </xf>
    <xf numFmtId="0" fontId="9" fillId="5" borderId="0" xfId="0" applyFont="1" applyFill="1" applyAlignment="1">
      <alignment wrapText="1"/>
    </xf>
    <xf numFmtId="0" fontId="9" fillId="5" borderId="12" xfId="0" applyFont="1" applyFill="1" applyBorder="1" applyAlignment="1">
      <alignment wrapText="1"/>
    </xf>
    <xf numFmtId="0" fontId="9" fillId="5" borderId="2" xfId="0" applyFont="1" applyFill="1" applyBorder="1" applyAlignment="1">
      <alignment wrapText="1"/>
    </xf>
    <xf numFmtId="0" fontId="9" fillId="5" borderId="3" xfId="0" applyFont="1" applyFill="1" applyBorder="1" applyAlignment="1">
      <alignment wrapText="1"/>
    </xf>
    <xf numFmtId="0" fontId="9" fillId="5" borderId="1" xfId="0" applyFont="1" applyFill="1" applyBorder="1" applyAlignment="1">
      <alignment wrapText="1"/>
    </xf>
    <xf numFmtId="0" fontId="8" fillId="2" borderId="0" xfId="0" applyFont="1" applyFill="1" applyAlignment="1">
      <alignment vertical="top" wrapText="1"/>
    </xf>
    <xf numFmtId="0" fontId="9" fillId="2" borderId="2" xfId="0" applyFont="1" applyFill="1" applyBorder="1" applyAlignment="1">
      <alignment wrapText="1"/>
    </xf>
    <xf numFmtId="0" fontId="9" fillId="2" borderId="12" xfId="0" applyFont="1" applyFill="1" applyBorder="1" applyAlignment="1">
      <alignment wrapText="1"/>
    </xf>
    <xf numFmtId="0" fontId="9" fillId="2" borderId="3" xfId="0" quotePrefix="1" applyFont="1" applyFill="1" applyBorder="1" applyAlignment="1">
      <alignment wrapText="1"/>
    </xf>
    <xf numFmtId="0" fontId="9" fillId="2" borderId="3" xfId="0" applyFont="1" applyFill="1" applyBorder="1" applyAlignment="1">
      <alignment wrapText="1"/>
    </xf>
    <xf numFmtId="0" fontId="9" fillId="2" borderId="1" xfId="0" applyFont="1" applyFill="1" applyBorder="1" applyAlignment="1">
      <alignment wrapText="1"/>
    </xf>
    <xf numFmtId="0" fontId="9" fillId="2" borderId="0" xfId="0" applyFont="1" applyFill="1" applyAlignment="1">
      <alignment wrapText="1"/>
    </xf>
    <xf numFmtId="0" fontId="9" fillId="8" borderId="2" xfId="0" applyFont="1" applyFill="1" applyBorder="1" applyAlignment="1">
      <alignment wrapText="1"/>
    </xf>
    <xf numFmtId="0" fontId="9" fillId="8" borderId="12" xfId="0" applyFont="1" applyFill="1" applyBorder="1" applyAlignment="1">
      <alignment wrapText="1"/>
    </xf>
    <xf numFmtId="0" fontId="9" fillId="8" borderId="3" xfId="0" quotePrefix="1" applyFont="1" applyFill="1" applyBorder="1" applyAlignment="1">
      <alignment wrapText="1"/>
    </xf>
    <xf numFmtId="0" fontId="9" fillId="8" borderId="3" xfId="0" applyFont="1" applyFill="1" applyBorder="1" applyAlignment="1">
      <alignment wrapText="1"/>
    </xf>
    <xf numFmtId="0" fontId="9" fillId="8" borderId="1" xfId="0" applyFont="1" applyFill="1" applyBorder="1" applyAlignment="1">
      <alignment wrapText="1"/>
    </xf>
    <xf numFmtId="0" fontId="9" fillId="8" borderId="0" xfId="0" applyFont="1" applyFill="1" applyAlignment="1">
      <alignment wrapText="1"/>
    </xf>
    <xf numFmtId="0" fontId="9" fillId="7" borderId="2" xfId="0" applyFont="1" applyFill="1" applyBorder="1" applyAlignment="1">
      <alignment wrapText="1"/>
    </xf>
    <xf numFmtId="0" fontId="9" fillId="7" borderId="12" xfId="0" applyFont="1" applyFill="1" applyBorder="1" applyAlignment="1">
      <alignment wrapText="1"/>
    </xf>
    <xf numFmtId="0" fontId="9" fillId="7" borderId="3" xfId="0" applyFont="1" applyFill="1" applyBorder="1" applyAlignment="1">
      <alignment wrapText="1"/>
    </xf>
    <xf numFmtId="0" fontId="9" fillId="7" borderId="1" xfId="0" applyFont="1" applyFill="1" applyBorder="1" applyAlignment="1">
      <alignment wrapText="1"/>
    </xf>
    <xf numFmtId="0" fontId="9" fillId="7" borderId="0" xfId="0" applyFont="1" applyFill="1" applyAlignment="1">
      <alignment wrapText="1"/>
    </xf>
    <xf numFmtId="0" fontId="9" fillId="7" borderId="23" xfId="0" applyFont="1" applyFill="1" applyBorder="1" applyAlignment="1">
      <alignment wrapText="1"/>
    </xf>
    <xf numFmtId="0" fontId="9" fillId="7" borderId="27" xfId="0" applyFont="1" applyFill="1" applyBorder="1" applyAlignment="1">
      <alignment wrapText="1"/>
    </xf>
    <xf numFmtId="0" fontId="8" fillId="3" borderId="24" xfId="0" applyFont="1" applyFill="1" applyBorder="1" applyAlignment="1">
      <alignment vertical="top" wrapText="1"/>
    </xf>
    <xf numFmtId="0" fontId="9" fillId="3" borderId="2" xfId="0" applyFont="1" applyFill="1" applyBorder="1" applyAlignment="1">
      <alignment wrapText="1"/>
    </xf>
    <xf numFmtId="0" fontId="9" fillId="3" borderId="20" xfId="0" applyFont="1" applyFill="1" applyBorder="1" applyAlignment="1">
      <alignment horizontal="left" wrapText="1"/>
    </xf>
    <xf numFmtId="0" fontId="9" fillId="3" borderId="3" xfId="0" applyFont="1" applyFill="1" applyBorder="1" applyAlignment="1">
      <alignment wrapText="1"/>
    </xf>
    <xf numFmtId="0" fontId="9" fillId="3" borderId="12" xfId="0" applyFont="1" applyFill="1" applyBorder="1" applyAlignment="1">
      <alignment wrapText="1"/>
    </xf>
    <xf numFmtId="0" fontId="9" fillId="3" borderId="9" xfId="0" applyFont="1" applyFill="1" applyBorder="1" applyAlignment="1">
      <alignment horizontal="center" wrapText="1"/>
    </xf>
    <xf numFmtId="0" fontId="9" fillId="3" borderId="22" xfId="0" applyFont="1" applyFill="1" applyBorder="1" applyAlignment="1">
      <alignment horizontal="center" wrapText="1"/>
    </xf>
    <xf numFmtId="0" fontId="9" fillId="3" borderId="0" xfId="0" applyFont="1" applyFill="1" applyAlignment="1">
      <alignment wrapText="1"/>
    </xf>
    <xf numFmtId="0" fontId="8" fillId="6" borderId="24" xfId="0" applyFont="1" applyFill="1" applyBorder="1" applyAlignment="1">
      <alignment vertical="top" wrapText="1"/>
    </xf>
    <xf numFmtId="0" fontId="9" fillId="6" borderId="2" xfId="0" applyFont="1" applyFill="1" applyBorder="1" applyAlignment="1">
      <alignment wrapText="1"/>
    </xf>
    <xf numFmtId="0" fontId="9" fillId="6" borderId="23" xfId="0" applyFont="1" applyFill="1" applyBorder="1" applyAlignment="1">
      <alignment wrapText="1"/>
    </xf>
    <xf numFmtId="0" fontId="9" fillId="6" borderId="3" xfId="0" applyFont="1" applyFill="1" applyBorder="1" applyAlignment="1">
      <alignment wrapText="1"/>
    </xf>
    <xf numFmtId="0" fontId="9" fillId="6" borderId="1" xfId="0" applyFont="1" applyFill="1" applyBorder="1" applyAlignment="1">
      <alignment wrapText="1"/>
    </xf>
    <xf numFmtId="0" fontId="9" fillId="6" borderId="27" xfId="0" applyFont="1" applyFill="1" applyBorder="1" applyAlignment="1">
      <alignment wrapText="1"/>
    </xf>
    <xf numFmtId="0" fontId="9" fillId="6" borderId="0" xfId="0" applyFont="1" applyFill="1" applyAlignment="1">
      <alignment wrapText="1"/>
    </xf>
    <xf numFmtId="0" fontId="9" fillId="6" borderId="12" xfId="0" quotePrefix="1" applyFont="1" applyFill="1" applyBorder="1" applyAlignment="1">
      <alignment wrapText="1"/>
    </xf>
    <xf numFmtId="0" fontId="9" fillId="6" borderId="12" xfId="0" applyFont="1" applyFill="1" applyBorder="1" applyAlignment="1">
      <alignment wrapText="1"/>
    </xf>
    <xf numFmtId="0" fontId="9" fillId="4" borderId="2" xfId="0" applyFont="1" applyFill="1" applyBorder="1" applyAlignment="1">
      <alignment wrapText="1"/>
    </xf>
    <xf numFmtId="0" fontId="9" fillId="4" borderId="12" xfId="0" applyFont="1" applyFill="1" applyBorder="1" applyAlignment="1">
      <alignment wrapText="1"/>
    </xf>
    <xf numFmtId="0" fontId="9" fillId="4" borderId="3" xfId="0" applyFont="1" applyFill="1" applyBorder="1" applyAlignment="1">
      <alignment wrapText="1"/>
    </xf>
    <xf numFmtId="0" fontId="9" fillId="4" borderId="1" xfId="0" applyFont="1" applyFill="1" applyBorder="1" applyAlignment="1">
      <alignment wrapText="1"/>
    </xf>
    <xf numFmtId="0" fontId="9" fillId="4" borderId="0" xfId="0" applyFont="1" applyFill="1" applyAlignment="1">
      <alignment wrapText="1"/>
    </xf>
    <xf numFmtId="0" fontId="5" fillId="4" borderId="32" xfId="0" applyFont="1" applyFill="1" applyBorder="1"/>
    <xf numFmtId="0" fontId="5" fillId="4" borderId="7" xfId="0" applyFont="1" applyFill="1" applyBorder="1"/>
    <xf numFmtId="0" fontId="5" fillId="4" borderId="33" xfId="0" applyFont="1" applyFill="1" applyBorder="1"/>
    <xf numFmtId="0" fontId="5" fillId="4" borderId="3" xfId="0" applyFont="1" applyFill="1" applyBorder="1"/>
    <xf numFmtId="0" fontId="5" fillId="3" borderId="33" xfId="0" applyFont="1" applyFill="1" applyBorder="1"/>
    <xf numFmtId="0" fontId="5" fillId="3" borderId="3" xfId="0" applyFont="1" applyFill="1" applyBorder="1"/>
    <xf numFmtId="0" fontId="5" fillId="2" borderId="33" xfId="0" applyFont="1" applyFill="1" applyBorder="1"/>
    <xf numFmtId="0" fontId="5" fillId="2" borderId="3" xfId="0" applyFont="1" applyFill="1" applyBorder="1"/>
    <xf numFmtId="0" fontId="5" fillId="0" borderId="0" xfId="0" applyFont="1" applyAlignment="1">
      <alignment wrapText="1"/>
    </xf>
    <xf numFmtId="0" fontId="5" fillId="3" borderId="38" xfId="0" applyFont="1" applyFill="1" applyBorder="1"/>
    <xf numFmtId="0" fontId="5" fillId="3" borderId="39" xfId="0" applyFont="1" applyFill="1" applyBorder="1"/>
    <xf numFmtId="0" fontId="5" fillId="3" borderId="1" xfId="0" applyFont="1" applyFill="1" applyBorder="1"/>
    <xf numFmtId="0" fontId="5" fillId="3" borderId="44" xfId="0" applyFont="1" applyFill="1" applyBorder="1"/>
    <xf numFmtId="0" fontId="5" fillId="3" borderId="0" xfId="0" applyFont="1" applyFill="1"/>
    <xf numFmtId="0" fontId="5" fillId="3" borderId="1" xfId="0" applyFont="1" applyFill="1" applyBorder="1" applyAlignment="1">
      <alignment horizontal="left" vertical="top" wrapText="1"/>
    </xf>
    <xf numFmtId="0" fontId="5" fillId="0" borderId="31" xfId="0" applyFont="1" applyBorder="1"/>
    <xf numFmtId="0" fontId="5" fillId="0" borderId="34" xfId="0" applyFont="1" applyBorder="1"/>
    <xf numFmtId="0" fontId="5" fillId="0" borderId="35" xfId="0" applyFont="1" applyBorder="1"/>
    <xf numFmtId="0" fontId="5" fillId="0" borderId="16" xfId="0" applyFont="1" applyBorder="1"/>
    <xf numFmtId="0" fontId="5" fillId="0" borderId="13" xfId="0" applyFont="1" applyBorder="1"/>
    <xf numFmtId="0" fontId="5" fillId="0" borderId="1" xfId="0" applyFont="1" applyBorder="1"/>
    <xf numFmtId="0" fontId="5" fillId="4" borderId="36" xfId="0" applyFont="1" applyFill="1" applyBorder="1"/>
    <xf numFmtId="0" fontId="5" fillId="4" borderId="37" xfId="0" applyFont="1" applyFill="1" applyBorder="1"/>
    <xf numFmtId="0" fontId="5" fillId="4" borderId="5" xfId="0" applyFont="1" applyFill="1" applyBorder="1"/>
    <xf numFmtId="0" fontId="5" fillId="4" borderId="0" xfId="0" applyFont="1" applyFill="1"/>
    <xf numFmtId="0" fontId="5" fillId="4" borderId="38" xfId="0" applyFont="1" applyFill="1" applyBorder="1"/>
    <xf numFmtId="0" fontId="5" fillId="4" borderId="39" xfId="0" applyFont="1" applyFill="1" applyBorder="1"/>
    <xf numFmtId="0" fontId="5" fillId="4" borderId="1" xfId="0" applyFont="1" applyFill="1" applyBorder="1"/>
    <xf numFmtId="0" fontId="5" fillId="4" borderId="44" xfId="0" applyFont="1" applyFill="1" applyBorder="1"/>
    <xf numFmtId="0" fontId="5" fillId="2" borderId="38" xfId="0" applyFont="1" applyFill="1" applyBorder="1"/>
    <xf numFmtId="0" fontId="5" fillId="2" borderId="39" xfId="0" applyFont="1" applyFill="1" applyBorder="1"/>
    <xf numFmtId="0" fontId="5" fillId="2" borderId="1" xfId="0" applyFont="1" applyFill="1" applyBorder="1"/>
    <xf numFmtId="0" fontId="5" fillId="2" borderId="0" xfId="0" applyFont="1" applyFill="1"/>
    <xf numFmtId="0" fontId="5" fillId="0" borderId="41" xfId="0" applyFont="1" applyBorder="1"/>
    <xf numFmtId="0" fontId="5" fillId="4" borderId="42" xfId="0" applyFont="1" applyFill="1" applyBorder="1"/>
    <xf numFmtId="0" fontId="5" fillId="4" borderId="4" xfId="0" applyFont="1" applyFill="1" applyBorder="1" applyAlignment="1">
      <alignment vertical="top"/>
    </xf>
    <xf numFmtId="0" fontId="5" fillId="4" borderId="43" xfId="0" applyFont="1" applyFill="1" applyBorder="1"/>
    <xf numFmtId="0" fontId="5" fillId="4" borderId="40" xfId="0" applyFont="1" applyFill="1" applyBorder="1" applyAlignment="1">
      <alignment vertical="top"/>
    </xf>
    <xf numFmtId="0" fontId="5" fillId="3" borderId="43" xfId="0" applyFont="1" applyFill="1" applyBorder="1"/>
    <xf numFmtId="0" fontId="9" fillId="2" borderId="9" xfId="0" applyFont="1" applyFill="1" applyBorder="1" applyAlignment="1">
      <alignment wrapText="1"/>
    </xf>
    <xf numFmtId="43" fontId="9" fillId="2" borderId="7" xfId="1" applyFont="1" applyFill="1" applyBorder="1" applyAlignment="1">
      <alignment wrapText="1"/>
    </xf>
    <xf numFmtId="0" fontId="9" fillId="2" borderId="64" xfId="0" applyFont="1" applyFill="1" applyBorder="1" applyAlignment="1">
      <alignment vertical="center" wrapText="1"/>
    </xf>
    <xf numFmtId="43" fontId="9" fillId="2" borderId="3" xfId="1" applyFont="1" applyFill="1" applyBorder="1" applyAlignment="1">
      <alignment wrapText="1"/>
    </xf>
    <xf numFmtId="0" fontId="9" fillId="2" borderId="2" xfId="0" applyFont="1" applyFill="1" applyBorder="1" applyAlignment="1">
      <alignment vertical="center" wrapText="1"/>
    </xf>
    <xf numFmtId="0" fontId="9" fillId="2" borderId="9" xfId="0" applyFont="1" applyFill="1" applyBorder="1" applyAlignment="1">
      <alignment vertical="center" wrapText="1"/>
    </xf>
    <xf numFmtId="43" fontId="9" fillId="2" borderId="3" xfId="1" quotePrefix="1" applyFont="1" applyFill="1" applyBorder="1" applyAlignment="1">
      <alignment wrapText="1"/>
    </xf>
    <xf numFmtId="0" fontId="9" fillId="7" borderId="1" xfId="0" applyFont="1" applyFill="1" applyBorder="1"/>
    <xf numFmtId="0" fontId="9" fillId="7" borderId="39" xfId="0" applyFont="1" applyFill="1" applyBorder="1" applyAlignment="1">
      <alignment horizontal="right"/>
    </xf>
    <xf numFmtId="43" fontId="9" fillId="7" borderId="39" xfId="1" applyFont="1" applyFill="1" applyBorder="1"/>
    <xf numFmtId="0" fontId="9" fillId="7" borderId="0" xfId="0" applyFont="1" applyFill="1"/>
    <xf numFmtId="0" fontId="9" fillId="7" borderId="50" xfId="0" applyFont="1" applyFill="1" applyBorder="1"/>
    <xf numFmtId="43" fontId="9" fillId="7" borderId="13" xfId="1" applyFont="1" applyFill="1" applyBorder="1"/>
    <xf numFmtId="0" fontId="8" fillId="0" borderId="0" xfId="0" applyFont="1" applyAlignment="1">
      <alignment vertical="top"/>
    </xf>
    <xf numFmtId="0" fontId="1" fillId="0" borderId="17" xfId="0" applyFont="1" applyBorder="1"/>
    <xf numFmtId="0" fontId="8" fillId="7" borderId="24" xfId="0" applyFont="1" applyFill="1" applyBorder="1" applyAlignment="1">
      <alignment vertical="top" wrapText="1"/>
    </xf>
    <xf numFmtId="0" fontId="9" fillId="7" borderId="25" xfId="0" applyFont="1" applyFill="1" applyBorder="1" applyAlignment="1">
      <alignment wrapText="1"/>
    </xf>
    <xf numFmtId="0" fontId="9" fillId="7" borderId="8" xfId="0" applyFont="1" applyFill="1" applyBorder="1" applyAlignment="1">
      <alignment wrapText="1"/>
    </xf>
    <xf numFmtId="0" fontId="9" fillId="7" borderId="6" xfId="0" applyFont="1" applyFill="1" applyBorder="1" applyAlignment="1">
      <alignment wrapText="1"/>
    </xf>
    <xf numFmtId="0" fontId="5" fillId="0" borderId="51" xfId="0" applyFont="1" applyBorder="1"/>
    <xf numFmtId="0" fontId="5" fillId="0" borderId="0" xfId="0" applyFont="1" applyAlignment="1">
      <alignment horizontal="right"/>
    </xf>
    <xf numFmtId="0" fontId="5" fillId="0" borderId="65" xfId="0" applyFont="1" applyBorder="1"/>
    <xf numFmtId="0" fontId="5" fillId="0" borderId="51" xfId="0" applyFont="1" applyBorder="1" applyAlignment="1">
      <alignment horizontal="center"/>
    </xf>
    <xf numFmtId="0" fontId="5" fillId="0" borderId="0" xfId="0" applyFont="1" applyAlignment="1">
      <alignment horizontal="left"/>
    </xf>
    <xf numFmtId="0" fontId="11" fillId="0" borderId="0" xfId="0" applyFont="1"/>
    <xf numFmtId="0" fontId="11" fillId="0" borderId="65" xfId="0" applyFont="1" applyBorder="1" applyAlignment="1">
      <alignment wrapText="1"/>
    </xf>
    <xf numFmtId="0" fontId="5" fillId="0" borderId="52" xfId="0" applyFont="1" applyBorder="1"/>
    <xf numFmtId="0" fontId="5" fillId="0" borderId="53" xfId="0" applyFont="1" applyBorder="1"/>
    <xf numFmtId="0" fontId="11" fillId="0" borderId="65" xfId="0" applyFont="1" applyBorder="1" applyAlignment="1">
      <alignment horizontal="center" wrapText="1"/>
    </xf>
    <xf numFmtId="0" fontId="11" fillId="0" borderId="15" xfId="0" applyFont="1" applyBorder="1" applyAlignment="1">
      <alignment horizontal="center" wrapText="1"/>
    </xf>
    <xf numFmtId="0" fontId="10" fillId="0" borderId="51" xfId="0" applyFont="1" applyBorder="1" applyAlignment="1">
      <alignment horizontal="center"/>
    </xf>
    <xf numFmtId="0" fontId="10" fillId="0" borderId="0" xfId="0" applyFont="1" applyAlignment="1">
      <alignment horizontal="center"/>
    </xf>
    <xf numFmtId="0" fontId="10" fillId="0" borderId="65" xfId="0" applyFont="1" applyBorder="1" applyAlignment="1">
      <alignment horizontal="center"/>
    </xf>
    <xf numFmtId="0" fontId="5" fillId="0" borderId="65" xfId="0" applyFont="1" applyBorder="1" applyAlignment="1">
      <alignment horizontal="center" wrapText="1"/>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9" fillId="7" borderId="8" xfId="0" applyFont="1" applyFill="1" applyBorder="1" applyAlignment="1">
      <alignment horizontal="center" wrapText="1"/>
    </xf>
    <xf numFmtId="0" fontId="9" fillId="7" borderId="25" xfId="0" applyFont="1" applyFill="1" applyBorder="1" applyAlignment="1">
      <alignment horizontal="center" wrapText="1"/>
    </xf>
    <xf numFmtId="0" fontId="9" fillId="7" borderId="9" xfId="0" applyFont="1" applyFill="1" applyBorder="1" applyAlignment="1">
      <alignment horizontal="center" wrapText="1"/>
    </xf>
    <xf numFmtId="0" fontId="9" fillId="7" borderId="19" xfId="0" applyFont="1" applyFill="1" applyBorder="1" applyAlignment="1">
      <alignment horizontal="left" wrapText="1"/>
    </xf>
    <xf numFmtId="0" fontId="9" fillId="7" borderId="26" xfId="0" applyFont="1" applyFill="1" applyBorder="1" applyAlignment="1">
      <alignment horizontal="left" wrapText="1"/>
    </xf>
    <xf numFmtId="0" fontId="9" fillId="7" borderId="20" xfId="0" applyFont="1" applyFill="1" applyBorder="1" applyAlignment="1">
      <alignment horizontal="left" wrapText="1"/>
    </xf>
    <xf numFmtId="0" fontId="9" fillId="7" borderId="21" xfId="0" applyFont="1" applyFill="1" applyBorder="1" applyAlignment="1">
      <alignment horizontal="center" wrapText="1"/>
    </xf>
    <xf numFmtId="0" fontId="9" fillId="7" borderId="28" xfId="0" applyFont="1" applyFill="1" applyBorder="1" applyAlignment="1">
      <alignment horizontal="center" wrapText="1"/>
    </xf>
    <xf numFmtId="0" fontId="9" fillId="7" borderId="22" xfId="0" applyFont="1" applyFill="1" applyBorder="1" applyAlignment="1">
      <alignment horizontal="center" wrapText="1"/>
    </xf>
    <xf numFmtId="0" fontId="9" fillId="4" borderId="21" xfId="0" applyFont="1" applyFill="1" applyBorder="1" applyAlignment="1">
      <alignment horizontal="center" wrapText="1"/>
    </xf>
    <xf numFmtId="0" fontId="9" fillId="4" borderId="22" xfId="0" applyFont="1" applyFill="1" applyBorder="1" applyAlignment="1">
      <alignment horizontal="center" wrapText="1"/>
    </xf>
    <xf numFmtId="0" fontId="9" fillId="6" borderId="19" xfId="0" quotePrefix="1" applyFont="1" applyFill="1" applyBorder="1" applyAlignment="1">
      <alignment horizontal="center" vertical="center" wrapText="1"/>
    </xf>
    <xf numFmtId="0" fontId="9" fillId="6" borderId="26" xfId="0" quotePrefix="1" applyFont="1" applyFill="1" applyBorder="1" applyAlignment="1">
      <alignment horizontal="center" vertical="center" wrapText="1"/>
    </xf>
    <xf numFmtId="0" fontId="9" fillId="6" borderId="20" xfId="0" quotePrefix="1" applyFont="1" applyFill="1" applyBorder="1" applyAlignment="1">
      <alignment horizontal="center" vertical="center" wrapText="1"/>
    </xf>
    <xf numFmtId="0" fontId="8" fillId="4" borderId="24" xfId="0" applyFont="1" applyFill="1" applyBorder="1" applyAlignment="1">
      <alignment horizontal="center" vertical="top" wrapText="1"/>
    </xf>
    <xf numFmtId="0" fontId="8" fillId="5" borderId="24" xfId="0" applyFont="1" applyFill="1" applyBorder="1" applyAlignment="1">
      <alignment horizontal="center" vertical="top" wrapText="1"/>
    </xf>
    <xf numFmtId="0" fontId="8" fillId="8" borderId="24" xfId="0" applyFont="1" applyFill="1" applyBorder="1" applyAlignment="1">
      <alignment horizontal="center" vertical="top" wrapText="1"/>
    </xf>
    <xf numFmtId="0" fontId="8" fillId="7" borderId="24" xfId="0" applyFont="1" applyFill="1" applyBorder="1" applyAlignment="1">
      <alignment horizontal="center" vertical="top" wrapText="1"/>
    </xf>
    <xf numFmtId="0" fontId="9" fillId="8" borderId="8" xfId="0" applyFont="1" applyFill="1" applyBorder="1" applyAlignment="1">
      <alignment horizontal="center" wrapText="1"/>
    </xf>
    <xf numFmtId="0" fontId="9" fillId="8" borderId="9" xfId="0" applyFont="1" applyFill="1" applyBorder="1" applyAlignment="1">
      <alignment horizontal="center" wrapText="1"/>
    </xf>
    <xf numFmtId="0" fontId="1" fillId="0" borderId="8" xfId="0" applyFont="1" applyBorder="1" applyAlignment="1">
      <alignment horizontal="center"/>
    </xf>
    <xf numFmtId="0" fontId="1" fillId="0" borderId="14" xfId="0" applyFont="1" applyBorder="1" applyAlignment="1">
      <alignment horizontal="center"/>
    </xf>
    <xf numFmtId="0" fontId="1" fillId="0" borderId="6"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5" xfId="0" applyFont="1" applyBorder="1" applyAlignment="1">
      <alignment horizontal="center"/>
    </xf>
    <xf numFmtId="0" fontId="9" fillId="8" borderId="19" xfId="0" applyFont="1" applyFill="1" applyBorder="1" applyAlignment="1">
      <alignment horizontal="center" wrapText="1"/>
    </xf>
    <xf numFmtId="0" fontId="9" fillId="8" borderId="20" xfId="0" applyFont="1" applyFill="1" applyBorder="1" applyAlignment="1">
      <alignment horizontal="center" wrapText="1"/>
    </xf>
    <xf numFmtId="0" fontId="9" fillId="8" borderId="21" xfId="0" applyFont="1" applyFill="1" applyBorder="1" applyAlignment="1">
      <alignment horizontal="center" wrapText="1"/>
    </xf>
    <xf numFmtId="0" fontId="9" fillId="8" borderId="22" xfId="0" applyFont="1" applyFill="1" applyBorder="1" applyAlignment="1">
      <alignment horizontal="center" wrapText="1"/>
    </xf>
    <xf numFmtId="0" fontId="1" fillId="0" borderId="3"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5"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0" borderId="0" xfId="0" applyFont="1" applyAlignment="1">
      <alignment horizontal="center" wrapText="1"/>
    </xf>
    <xf numFmtId="0" fontId="9" fillId="2" borderId="62" xfId="0" applyFont="1" applyFill="1" applyBorder="1" applyAlignment="1">
      <alignment horizontal="center" wrapText="1"/>
    </xf>
    <xf numFmtId="0" fontId="9" fillId="2" borderId="56" xfId="0" applyFont="1" applyFill="1" applyBorder="1" applyAlignment="1">
      <alignment horizontal="center" wrapText="1"/>
    </xf>
    <xf numFmtId="0" fontId="9" fillId="2" borderId="3" xfId="0" applyFont="1" applyFill="1" applyBorder="1" applyAlignment="1">
      <alignment horizontal="center" wrapText="1"/>
    </xf>
    <xf numFmtId="0" fontId="9" fillId="2" borderId="62" xfId="0" applyFont="1" applyFill="1" applyBorder="1" applyAlignment="1">
      <alignment horizontal="center" vertical="center" wrapText="1"/>
    </xf>
    <xf numFmtId="0" fontId="9" fillId="2" borderId="56"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9" fillId="7" borderId="51" xfId="0" applyFont="1" applyFill="1" applyBorder="1" applyAlignment="1">
      <alignment horizontal="center"/>
    </xf>
    <xf numFmtId="0" fontId="9"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50" xfId="0"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57" xfId="0" applyFill="1" applyBorder="1" applyAlignment="1">
      <alignment horizontal="center"/>
    </xf>
    <xf numFmtId="0" fontId="0" fillId="2" borderId="55" xfId="0" applyFill="1" applyBorder="1" applyAlignment="1">
      <alignment horizontal="center"/>
    </xf>
    <xf numFmtId="0" fontId="0" fillId="2" borderId="10"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5" xfId="0" applyFill="1" applyBorder="1" applyAlignment="1">
      <alignment horizontal="center"/>
    </xf>
    <xf numFmtId="0" fontId="9" fillId="2" borderId="59" xfId="0" applyFont="1" applyFill="1" applyBorder="1" applyAlignment="1">
      <alignment horizontal="center" wrapText="1"/>
    </xf>
    <xf numFmtId="0" fontId="9" fillId="2" borderId="60" xfId="0" applyFont="1" applyFill="1" applyBorder="1" applyAlignment="1">
      <alignment horizontal="center" wrapText="1"/>
    </xf>
    <xf numFmtId="0" fontId="9" fillId="2" borderId="61" xfId="0" applyFont="1" applyFill="1" applyBorder="1" applyAlignment="1">
      <alignment horizontal="center" wrapText="1"/>
    </xf>
    <xf numFmtId="0" fontId="9" fillId="2" borderId="12" xfId="0" applyFont="1" applyFill="1" applyBorder="1" applyAlignment="1">
      <alignment horizontal="center" wrapText="1"/>
    </xf>
    <xf numFmtId="0" fontId="0" fillId="2" borderId="6" xfId="0" applyFill="1" applyBorder="1" applyAlignment="1">
      <alignment horizontal="center"/>
    </xf>
    <xf numFmtId="0" fontId="0" fillId="2" borderId="18" xfId="0" applyFill="1" applyBorder="1" applyAlignment="1">
      <alignment horizontal="center"/>
    </xf>
    <xf numFmtId="0" fontId="9" fillId="2" borderId="59" xfId="0" applyFont="1" applyFill="1" applyBorder="1" applyAlignment="1">
      <alignment horizontal="center" vertical="center" wrapText="1"/>
    </xf>
    <xf numFmtId="0" fontId="9" fillId="2" borderId="60" xfId="0" applyFont="1" applyFill="1" applyBorder="1" applyAlignment="1">
      <alignment horizontal="center" vertical="center" wrapText="1"/>
    </xf>
    <xf numFmtId="0" fontId="9" fillId="2" borderId="69" xfId="0" applyFont="1" applyFill="1" applyBorder="1" applyAlignment="1">
      <alignment horizontal="center" vertical="center" wrapText="1"/>
    </xf>
    <xf numFmtId="43" fontId="2" fillId="2" borderId="21" xfId="1" applyFont="1" applyFill="1" applyBorder="1" applyAlignment="1">
      <alignment horizontal="center"/>
    </xf>
    <xf numFmtId="43" fontId="2" fillId="2" borderId="30" xfId="1"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65853</xdr:colOff>
      <xdr:row>10</xdr:row>
      <xdr:rowOff>37630</xdr:rowOff>
    </xdr:from>
    <xdr:to>
      <xdr:col>3</xdr:col>
      <xdr:colOff>783013</xdr:colOff>
      <xdr:row>10</xdr:row>
      <xdr:rowOff>743185</xdr:rowOff>
    </xdr:to>
    <xdr:pic>
      <xdr:nvPicPr>
        <xdr:cNvPr id="5" name="Picture 4">
          <a:extLst>
            <a:ext uri="{FF2B5EF4-FFF2-40B4-BE49-F238E27FC236}">
              <a16:creationId xmlns:a16="http://schemas.microsoft.com/office/drawing/2014/main" id="{A068B30E-9264-1EED-A974-1F04B4F5590E}"/>
            </a:ext>
          </a:extLst>
        </xdr:cNvPr>
        <xdr:cNvPicPr>
          <a:picLocks noChangeAspect="1"/>
        </xdr:cNvPicPr>
      </xdr:nvPicPr>
      <xdr:blipFill>
        <a:blip xmlns:r="http://schemas.openxmlformats.org/officeDocument/2006/relationships" r:embed="rId1"/>
        <a:stretch>
          <a:fillRect/>
        </a:stretch>
      </xdr:blipFill>
      <xdr:spPr>
        <a:xfrm>
          <a:off x="6020742" y="7770519"/>
          <a:ext cx="717160" cy="705555"/>
        </a:xfrm>
        <a:prstGeom prst="rect">
          <a:avLst/>
        </a:prstGeom>
      </xdr:spPr>
    </xdr:pic>
    <xdr:clientData/>
  </xdr:twoCellAnchor>
  <xdr:twoCellAnchor editAs="oneCell">
    <xdr:from>
      <xdr:col>3</xdr:col>
      <xdr:colOff>84667</xdr:colOff>
      <xdr:row>11</xdr:row>
      <xdr:rowOff>47037</xdr:rowOff>
    </xdr:from>
    <xdr:to>
      <xdr:col>3</xdr:col>
      <xdr:colOff>769064</xdr:colOff>
      <xdr:row>11</xdr:row>
      <xdr:rowOff>733778</xdr:rowOff>
    </xdr:to>
    <xdr:pic>
      <xdr:nvPicPr>
        <xdr:cNvPr id="6" name="Picture 5">
          <a:extLst>
            <a:ext uri="{FF2B5EF4-FFF2-40B4-BE49-F238E27FC236}">
              <a16:creationId xmlns:a16="http://schemas.microsoft.com/office/drawing/2014/main" id="{62129F7E-1349-8513-49E3-6EFA9F509787}"/>
            </a:ext>
          </a:extLst>
        </xdr:cNvPr>
        <xdr:cNvPicPr>
          <a:picLocks noChangeAspect="1"/>
        </xdr:cNvPicPr>
      </xdr:nvPicPr>
      <xdr:blipFill>
        <a:blip xmlns:r="http://schemas.openxmlformats.org/officeDocument/2006/relationships" r:embed="rId2"/>
        <a:stretch>
          <a:fillRect/>
        </a:stretch>
      </xdr:blipFill>
      <xdr:spPr>
        <a:xfrm>
          <a:off x="6039556" y="8541926"/>
          <a:ext cx="684397" cy="68674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zoomScale="75" workbookViewId="0">
      <selection activeCell="C21" sqref="C21"/>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198" t="s">
        <v>1</v>
      </c>
      <c r="C4" s="198"/>
      <c r="D4" s="198"/>
    </row>
    <row r="5" spans="2:4" ht="17" thickBot="1" x14ac:dyDescent="0.25">
      <c r="B5" s="9" t="s">
        <v>2</v>
      </c>
      <c r="C5" s="9" t="s">
        <v>3</v>
      </c>
      <c r="D5" s="9" t="s">
        <v>143</v>
      </c>
    </row>
    <row r="6" spans="2:4" x14ac:dyDescent="0.2">
      <c r="B6" s="13" t="s">
        <v>169</v>
      </c>
      <c r="C6" s="13" t="s">
        <v>170</v>
      </c>
      <c r="D6" s="13" t="s">
        <v>171</v>
      </c>
    </row>
    <row r="7" spans="2:4" ht="51" x14ac:dyDescent="0.2">
      <c r="B7" s="3" t="s">
        <v>4</v>
      </c>
      <c r="C7" s="12" t="s">
        <v>6</v>
      </c>
      <c r="D7" s="3"/>
    </row>
    <row r="8" spans="2:4" ht="119" x14ac:dyDescent="0.2">
      <c r="B8" s="1" t="s">
        <v>140</v>
      </c>
      <c r="C8" s="2" t="s">
        <v>142</v>
      </c>
      <c r="D8" s="2" t="s">
        <v>278</v>
      </c>
    </row>
    <row r="9" spans="2:4" ht="34" x14ac:dyDescent="0.2">
      <c r="B9" s="1" t="s">
        <v>149</v>
      </c>
      <c r="C9" s="2" t="s">
        <v>150</v>
      </c>
      <c r="D9" s="2" t="s">
        <v>279</v>
      </c>
    </row>
    <row r="10" spans="2:4" ht="68" x14ac:dyDescent="0.2">
      <c r="B10" s="7" t="s">
        <v>141</v>
      </c>
      <c r="C10" s="3" t="s">
        <v>163</v>
      </c>
      <c r="D10" s="12" t="s">
        <v>282</v>
      </c>
    </row>
    <row r="11" spans="2:4" ht="34" x14ac:dyDescent="0.2">
      <c r="B11" s="1" t="s">
        <v>164</v>
      </c>
      <c r="C11" s="3" t="s">
        <v>5</v>
      </c>
      <c r="D11" s="12" t="s">
        <v>281</v>
      </c>
    </row>
    <row r="13" spans="2:4" ht="16" customHeight="1" x14ac:dyDescent="0.2">
      <c r="B13" s="199" t="s">
        <v>89</v>
      </c>
      <c r="C13" s="199"/>
      <c r="D13" s="199"/>
    </row>
    <row r="14" spans="2:4" x14ac:dyDescent="0.2">
      <c r="B14" s="199"/>
      <c r="C14" s="199"/>
      <c r="D14" s="199"/>
    </row>
    <row r="15" spans="2:4" x14ac:dyDescent="0.2">
      <c r="B15" s="199"/>
      <c r="C15" s="199"/>
      <c r="D15" s="199"/>
    </row>
    <row r="16" spans="2:4" x14ac:dyDescent="0.2">
      <c r="B16" s="199"/>
      <c r="C16" s="199"/>
      <c r="D16" s="199"/>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topLeftCell="A9" workbookViewId="0">
      <selection activeCell="F12" sqref="F12"/>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189</v>
      </c>
    </row>
    <row r="3" spans="2:6" ht="50" customHeight="1" x14ac:dyDescent="0.2">
      <c r="B3" s="202" t="s">
        <v>229</v>
      </c>
      <c r="C3" s="202"/>
      <c r="D3" s="202"/>
      <c r="E3" s="202"/>
      <c r="F3" s="202"/>
    </row>
    <row r="5" spans="2:6" ht="35" thickBot="1" x14ac:dyDescent="0.25">
      <c r="B5" s="19" t="s">
        <v>172</v>
      </c>
      <c r="C5" s="26" t="s">
        <v>176</v>
      </c>
      <c r="D5" s="20" t="s">
        <v>182</v>
      </c>
      <c r="E5" s="19" t="s">
        <v>191</v>
      </c>
      <c r="F5" s="19" t="s">
        <v>220</v>
      </c>
    </row>
    <row r="6" spans="2:6" ht="17" x14ac:dyDescent="0.2">
      <c r="B6" s="204" t="s">
        <v>177</v>
      </c>
      <c r="C6" s="27" t="s">
        <v>178</v>
      </c>
      <c r="D6" s="21" t="s">
        <v>183</v>
      </c>
      <c r="E6" s="14" t="s">
        <v>192</v>
      </c>
      <c r="F6" s="14"/>
    </row>
    <row r="7" spans="2:6" ht="34" x14ac:dyDescent="0.2">
      <c r="B7" s="205"/>
      <c r="C7" s="28" t="s">
        <v>179</v>
      </c>
      <c r="D7" s="22" t="s">
        <v>185</v>
      </c>
      <c r="E7" s="15" t="s">
        <v>193</v>
      </c>
      <c r="F7" s="15"/>
    </row>
    <row r="8" spans="2:6" ht="34" x14ac:dyDescent="0.2">
      <c r="B8" s="205"/>
      <c r="C8" s="28" t="s">
        <v>180</v>
      </c>
      <c r="D8" s="22" t="s">
        <v>184</v>
      </c>
      <c r="E8" s="15" t="s">
        <v>194</v>
      </c>
      <c r="F8" s="15"/>
    </row>
    <row r="9" spans="2:6" ht="51" x14ac:dyDescent="0.2">
      <c r="B9" s="205"/>
      <c r="C9" s="28" t="s">
        <v>181</v>
      </c>
      <c r="D9" s="22" t="s">
        <v>186</v>
      </c>
      <c r="E9" s="15" t="s">
        <v>195</v>
      </c>
      <c r="F9" s="15"/>
    </row>
    <row r="10" spans="2:6" ht="34" x14ac:dyDescent="0.2">
      <c r="B10" s="206" t="s">
        <v>173</v>
      </c>
      <c r="C10" s="29" t="s">
        <v>116</v>
      </c>
      <c r="D10" s="23" t="s">
        <v>207</v>
      </c>
      <c r="E10" s="16" t="s">
        <v>196</v>
      </c>
      <c r="F10" s="16" t="s">
        <v>221</v>
      </c>
    </row>
    <row r="11" spans="2:6" ht="34" x14ac:dyDescent="0.2">
      <c r="B11" s="206"/>
      <c r="C11" s="29" t="s">
        <v>187</v>
      </c>
      <c r="D11" s="23" t="s">
        <v>208</v>
      </c>
      <c r="E11" s="16" t="s">
        <v>198</v>
      </c>
      <c r="F11" s="16" t="s">
        <v>222</v>
      </c>
    </row>
    <row r="12" spans="2:6" ht="34" x14ac:dyDescent="0.2">
      <c r="B12" s="206"/>
      <c r="C12" s="29" t="s">
        <v>188</v>
      </c>
      <c r="D12" s="23" t="s">
        <v>209</v>
      </c>
      <c r="E12" s="16" t="s">
        <v>197</v>
      </c>
      <c r="F12" s="16" t="s">
        <v>223</v>
      </c>
    </row>
    <row r="13" spans="2:6" ht="17" x14ac:dyDescent="0.2">
      <c r="B13" s="207" t="s">
        <v>174</v>
      </c>
      <c r="C13" s="30" t="s">
        <v>132</v>
      </c>
      <c r="D13" s="24" t="s">
        <v>210</v>
      </c>
      <c r="E13" s="17" t="s">
        <v>199</v>
      </c>
      <c r="F13" s="17" t="s">
        <v>224</v>
      </c>
    </row>
    <row r="14" spans="2:6" ht="34" x14ac:dyDescent="0.2">
      <c r="B14" s="207"/>
      <c r="C14" s="30" t="s">
        <v>113</v>
      </c>
      <c r="D14" s="24" t="s">
        <v>211</v>
      </c>
      <c r="E14" s="17" t="s">
        <v>213</v>
      </c>
      <c r="F14" s="17" t="s">
        <v>228</v>
      </c>
    </row>
    <row r="15" spans="2:6" ht="17" x14ac:dyDescent="0.2">
      <c r="B15" s="207"/>
      <c r="C15" s="30" t="s">
        <v>111</v>
      </c>
      <c r="D15" s="24" t="s">
        <v>212</v>
      </c>
      <c r="E15" s="17" t="s">
        <v>200</v>
      </c>
      <c r="F15" s="17" t="s">
        <v>227</v>
      </c>
    </row>
    <row r="16" spans="2:6" ht="17" x14ac:dyDescent="0.2">
      <c r="B16" s="208" t="s">
        <v>175</v>
      </c>
      <c r="C16" s="31" t="s">
        <v>190</v>
      </c>
      <c r="D16" s="25" t="s">
        <v>204</v>
      </c>
      <c r="E16" s="18" t="s">
        <v>201</v>
      </c>
      <c r="F16" s="18"/>
    </row>
    <row r="17" spans="2:11" ht="34" x14ac:dyDescent="0.2">
      <c r="B17" s="208"/>
      <c r="C17" s="31" t="s">
        <v>133</v>
      </c>
      <c r="D17" s="25" t="s">
        <v>205</v>
      </c>
      <c r="E17" s="18" t="s">
        <v>202</v>
      </c>
      <c r="F17" s="18" t="s">
        <v>225</v>
      </c>
    </row>
    <row r="18" spans="2:11" ht="135" customHeight="1" x14ac:dyDescent="0.2">
      <c r="B18" s="208"/>
      <c r="C18" s="31" t="s">
        <v>115</v>
      </c>
      <c r="D18" s="25" t="s">
        <v>234</v>
      </c>
      <c r="E18" s="18" t="s">
        <v>203</v>
      </c>
      <c r="F18" s="42" t="s">
        <v>235</v>
      </c>
      <c r="G18" s="41" t="s">
        <v>230</v>
      </c>
      <c r="H18" s="4"/>
      <c r="I18" s="4"/>
      <c r="J18" s="4"/>
      <c r="K18" s="4"/>
    </row>
    <row r="19" spans="2:11" ht="34" x14ac:dyDescent="0.2">
      <c r="B19" s="208"/>
      <c r="C19" s="31" t="s">
        <v>114</v>
      </c>
      <c r="D19" s="25" t="s">
        <v>206</v>
      </c>
      <c r="E19" s="18" t="s">
        <v>226</v>
      </c>
      <c r="F19" s="18"/>
    </row>
    <row r="21" spans="2:11" ht="17" thickBot="1" x14ac:dyDescent="0.25">
      <c r="B21" t="s">
        <v>214</v>
      </c>
      <c r="F21" s="4"/>
    </row>
    <row r="22" spans="2:11" ht="17" x14ac:dyDescent="0.2">
      <c r="B22" s="209" t="s">
        <v>132</v>
      </c>
      <c r="C22" s="37" t="s">
        <v>116</v>
      </c>
      <c r="D22" s="200" t="s">
        <v>216</v>
      </c>
      <c r="E22" s="201"/>
    </row>
    <row r="23" spans="2:11" ht="32" customHeight="1" x14ac:dyDescent="0.2">
      <c r="B23" s="210"/>
      <c r="C23" s="8" t="s">
        <v>115</v>
      </c>
      <c r="D23" s="202" t="s">
        <v>218</v>
      </c>
      <c r="E23" s="203"/>
      <c r="F23" s="4"/>
    </row>
    <row r="24" spans="2:11" x14ac:dyDescent="0.2">
      <c r="B24" s="210"/>
      <c r="C24" s="8" t="s">
        <v>114</v>
      </c>
      <c r="D24" s="39" t="s">
        <v>215</v>
      </c>
      <c r="E24" s="40"/>
    </row>
    <row r="25" spans="2:11" x14ac:dyDescent="0.2">
      <c r="B25" s="33"/>
      <c r="C25" s="8" t="s">
        <v>113</v>
      </c>
      <c r="D25" t="s">
        <v>217</v>
      </c>
      <c r="E25" s="32"/>
      <c r="F25" s="4"/>
    </row>
    <row r="26" spans="2:11" ht="17" thickBot="1" x14ac:dyDescent="0.25">
      <c r="B26" s="34"/>
      <c r="C26" s="38" t="s">
        <v>111</v>
      </c>
      <c r="D26" s="35" t="s">
        <v>111</v>
      </c>
      <c r="E26" s="36"/>
    </row>
    <row r="28" spans="2:11" x14ac:dyDescent="0.2">
      <c r="C28" s="8"/>
    </row>
    <row r="33" spans="5:5" x14ac:dyDescent="0.2">
      <c r="E33" s="4"/>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A10" zoomScale="125" zoomScaleNormal="253" workbookViewId="0">
      <selection activeCell="E11" sqref="E11:E12"/>
    </sheetView>
  </sheetViews>
  <sheetFormatPr baseColWidth="10" defaultRowHeight="14" x14ac:dyDescent="0.2"/>
  <cols>
    <col min="1" max="1" width="10.83203125" style="177"/>
    <col min="2" max="2" width="14.33203125" style="5" bestFit="1" customWidth="1"/>
    <col min="3" max="3" width="53" style="5" customWidth="1"/>
    <col min="4" max="4" width="10.83203125" style="5"/>
    <col min="5" max="5" width="40.5" style="5" customWidth="1"/>
    <col min="6" max="6" width="12.33203125" style="5" bestFit="1" customWidth="1"/>
    <col min="7" max="8" width="11.5" style="5" bestFit="1" customWidth="1"/>
    <col min="9" max="9" width="42" style="5" customWidth="1"/>
    <col min="10" max="10" width="41.1640625" style="5" customWidth="1"/>
    <col min="11" max="16384" width="10.83203125" style="5"/>
  </cols>
  <sheetData>
    <row r="2" spans="1:10" s="64" customFormat="1" ht="16" x14ac:dyDescent="0.2">
      <c r="A2" s="177"/>
      <c r="B2" s="231" t="s">
        <v>7</v>
      </c>
      <c r="C2" s="235" t="s">
        <v>8</v>
      </c>
      <c r="D2" s="241" t="s">
        <v>12</v>
      </c>
      <c r="E2" s="242"/>
      <c r="F2" s="243" t="s">
        <v>11</v>
      </c>
      <c r="G2" s="243"/>
      <c r="H2" s="243"/>
      <c r="I2" s="242"/>
      <c r="J2" s="233" t="s">
        <v>10</v>
      </c>
    </row>
    <row r="3" spans="1:10" s="64" customFormat="1" ht="17" thickBot="1" x14ac:dyDescent="0.25">
      <c r="A3" s="177"/>
      <c r="B3" s="232"/>
      <c r="C3" s="236"/>
      <c r="D3" s="11" t="s">
        <v>9</v>
      </c>
      <c r="E3" s="178" t="s">
        <v>25</v>
      </c>
      <c r="F3" s="11" t="s">
        <v>13</v>
      </c>
      <c r="G3" s="9" t="s">
        <v>14</v>
      </c>
      <c r="H3" s="9" t="s">
        <v>15</v>
      </c>
      <c r="I3" s="178" t="s">
        <v>25</v>
      </c>
      <c r="J3" s="234"/>
    </row>
    <row r="4" spans="1:10" s="78" customFormat="1" ht="91" customHeight="1" x14ac:dyDescent="0.2">
      <c r="A4" s="226" t="s">
        <v>85</v>
      </c>
      <c r="B4" s="73" t="s">
        <v>16</v>
      </c>
      <c r="C4" s="74" t="s">
        <v>17</v>
      </c>
      <c r="D4" s="75">
        <v>200000</v>
      </c>
      <c r="E4" s="73" t="s">
        <v>292</v>
      </c>
      <c r="F4" s="76"/>
      <c r="G4" s="77"/>
      <c r="H4" s="77"/>
      <c r="I4" s="73"/>
      <c r="J4" s="76" t="s">
        <v>26</v>
      </c>
    </row>
    <row r="5" spans="1:10" s="78" customFormat="1" ht="105" x14ac:dyDescent="0.2">
      <c r="A5" s="226"/>
      <c r="B5" s="80" t="s">
        <v>18</v>
      </c>
      <c r="C5" s="79" t="s">
        <v>19</v>
      </c>
      <c r="D5" s="81">
        <v>1980</v>
      </c>
      <c r="E5" s="80" t="s">
        <v>24</v>
      </c>
      <c r="F5" s="81"/>
      <c r="G5" s="82"/>
      <c r="H5" s="82"/>
      <c r="I5" s="80"/>
      <c r="J5" s="81" t="s">
        <v>280</v>
      </c>
    </row>
    <row r="6" spans="1:10" s="78" customFormat="1" ht="60" x14ac:dyDescent="0.2">
      <c r="A6" s="226"/>
      <c r="B6" s="80" t="s">
        <v>22</v>
      </c>
      <c r="C6" s="79" t="s">
        <v>20</v>
      </c>
      <c r="D6" s="81">
        <v>2055</v>
      </c>
      <c r="E6" s="80" t="s">
        <v>301</v>
      </c>
      <c r="F6" s="81"/>
      <c r="G6" s="82"/>
      <c r="H6" s="82"/>
      <c r="I6" s="80"/>
      <c r="J6" s="81"/>
    </row>
    <row r="7" spans="1:10" s="78" customFormat="1" ht="30" x14ac:dyDescent="0.2">
      <c r="A7" s="226"/>
      <c r="B7" s="80" t="s">
        <v>101</v>
      </c>
      <c r="C7" s="79" t="s">
        <v>102</v>
      </c>
      <c r="D7" s="81">
        <v>20</v>
      </c>
      <c r="E7" s="80" t="s">
        <v>103</v>
      </c>
      <c r="F7" s="81"/>
      <c r="G7" s="82"/>
      <c r="H7" s="82"/>
      <c r="I7" s="80"/>
      <c r="J7" s="81"/>
    </row>
    <row r="8" spans="1:10" s="78" customFormat="1" ht="45" x14ac:dyDescent="0.2">
      <c r="A8" s="226"/>
      <c r="B8" s="80" t="s">
        <v>23</v>
      </c>
      <c r="C8" s="79" t="s">
        <v>21</v>
      </c>
      <c r="D8" s="81">
        <v>0.25</v>
      </c>
      <c r="E8" s="80" t="s">
        <v>302</v>
      </c>
      <c r="F8" s="81"/>
      <c r="G8" s="82"/>
      <c r="H8" s="82"/>
      <c r="I8" s="80"/>
      <c r="J8" s="81"/>
    </row>
    <row r="9" spans="1:10" s="89" customFormat="1" ht="139" customHeight="1" x14ac:dyDescent="0.2">
      <c r="A9" s="83" t="s">
        <v>86</v>
      </c>
      <c r="B9" s="84" t="s">
        <v>27</v>
      </c>
      <c r="C9" s="85" t="s">
        <v>28</v>
      </c>
      <c r="D9" s="86" t="s">
        <v>29</v>
      </c>
      <c r="E9" s="84" t="s">
        <v>30</v>
      </c>
      <c r="F9" s="87"/>
      <c r="G9" s="88"/>
      <c r="H9" s="88"/>
      <c r="I9" s="84"/>
      <c r="J9" s="87" t="s">
        <v>31</v>
      </c>
    </row>
    <row r="10" spans="1:10" s="95" customFormat="1" ht="90" x14ac:dyDescent="0.2">
      <c r="A10" s="227" t="s">
        <v>87</v>
      </c>
      <c r="B10" s="90" t="s">
        <v>38</v>
      </c>
      <c r="C10" s="91" t="s">
        <v>36</v>
      </c>
      <c r="D10" s="92" t="s">
        <v>37</v>
      </c>
      <c r="E10" s="90" t="s">
        <v>303</v>
      </c>
      <c r="F10" s="93"/>
      <c r="G10" s="94"/>
      <c r="H10" s="94"/>
      <c r="I10" s="90"/>
      <c r="J10" s="93" t="s">
        <v>168</v>
      </c>
    </row>
    <row r="11" spans="1:10" s="95" customFormat="1" ht="60" customHeight="1" x14ac:dyDescent="0.2">
      <c r="A11" s="227"/>
      <c r="B11" s="229" t="s">
        <v>34</v>
      </c>
      <c r="C11" s="237" t="s">
        <v>39</v>
      </c>
      <c r="D11" s="93"/>
      <c r="E11" s="229" t="s">
        <v>318</v>
      </c>
      <c r="F11" s="93"/>
      <c r="G11" s="94"/>
      <c r="H11" s="94"/>
      <c r="I11" s="90"/>
      <c r="J11" s="239"/>
    </row>
    <row r="12" spans="1:10" s="95" customFormat="1" ht="60" customHeight="1" x14ac:dyDescent="0.2">
      <c r="A12" s="227"/>
      <c r="B12" s="230"/>
      <c r="C12" s="238"/>
      <c r="D12" s="93"/>
      <c r="E12" s="230"/>
      <c r="F12" s="93"/>
      <c r="G12" s="94"/>
      <c r="H12" s="94"/>
      <c r="I12" s="90"/>
      <c r="J12" s="240"/>
    </row>
    <row r="13" spans="1:10" s="100" customFormat="1" ht="105" x14ac:dyDescent="0.2">
      <c r="A13" s="228" t="s">
        <v>88</v>
      </c>
      <c r="B13" s="96" t="s">
        <v>32</v>
      </c>
      <c r="C13" s="97" t="s">
        <v>33</v>
      </c>
      <c r="D13" s="98" t="s">
        <v>300</v>
      </c>
      <c r="E13" s="96" t="s">
        <v>304</v>
      </c>
      <c r="F13" s="98"/>
      <c r="G13" s="99"/>
      <c r="H13" s="99"/>
      <c r="I13" s="96"/>
      <c r="J13" s="98"/>
    </row>
    <row r="14" spans="1:10" s="100" customFormat="1" ht="188" customHeight="1" x14ac:dyDescent="0.2">
      <c r="A14" s="228"/>
      <c r="B14" s="96" t="s">
        <v>35</v>
      </c>
      <c r="C14" s="97" t="s">
        <v>41</v>
      </c>
      <c r="D14" s="98" t="s">
        <v>40</v>
      </c>
      <c r="E14" s="96" t="s">
        <v>42</v>
      </c>
      <c r="F14" s="98"/>
      <c r="G14" s="99"/>
      <c r="H14" s="99"/>
      <c r="I14" s="96"/>
      <c r="J14" s="98" t="s">
        <v>43</v>
      </c>
    </row>
    <row r="15" spans="1:10" s="100" customFormat="1" ht="45" x14ac:dyDescent="0.2">
      <c r="A15" s="228"/>
      <c r="B15" s="96" t="s">
        <v>44</v>
      </c>
      <c r="C15" s="97" t="s">
        <v>45</v>
      </c>
      <c r="D15" s="98">
        <v>0.5</v>
      </c>
      <c r="E15" s="96" t="s">
        <v>46</v>
      </c>
      <c r="F15" s="98"/>
      <c r="G15" s="99"/>
      <c r="H15" s="99"/>
      <c r="I15" s="96"/>
      <c r="J15" s="98"/>
    </row>
    <row r="16" spans="1:10" s="100" customFormat="1" ht="60" x14ac:dyDescent="0.2">
      <c r="A16" s="228"/>
      <c r="B16" s="96" t="s">
        <v>47</v>
      </c>
      <c r="C16" s="97" t="s">
        <v>48</v>
      </c>
      <c r="D16" s="98">
        <v>1</v>
      </c>
      <c r="E16" s="96" t="s">
        <v>49</v>
      </c>
      <c r="F16" s="98"/>
      <c r="G16" s="99"/>
      <c r="H16" s="99"/>
      <c r="I16" s="96"/>
      <c r="J16" s="98" t="s">
        <v>50</v>
      </c>
    </row>
    <row r="17" spans="1:10" s="100" customFormat="1" ht="30" x14ac:dyDescent="0.2">
      <c r="A17" s="228"/>
      <c r="B17" s="96" t="s">
        <v>51</v>
      </c>
      <c r="C17" s="97" t="s">
        <v>52</v>
      </c>
      <c r="D17" s="98" t="s">
        <v>53</v>
      </c>
      <c r="E17" s="96" t="s">
        <v>54</v>
      </c>
      <c r="F17" s="98"/>
      <c r="G17" s="99"/>
      <c r="H17" s="99"/>
      <c r="I17" s="96"/>
      <c r="J17" s="98"/>
    </row>
    <row r="18" spans="1:10" s="100" customFormat="1" ht="135" x14ac:dyDescent="0.2">
      <c r="A18" s="228"/>
      <c r="B18" s="96" t="s">
        <v>55</v>
      </c>
      <c r="C18" s="97" t="s">
        <v>56</v>
      </c>
      <c r="D18" s="98"/>
      <c r="E18" s="96"/>
      <c r="F18" s="98" t="s">
        <v>57</v>
      </c>
      <c r="G18" s="99">
        <v>0</v>
      </c>
      <c r="H18" s="99">
        <v>1</v>
      </c>
      <c r="I18" s="96" t="s">
        <v>305</v>
      </c>
      <c r="J18" s="98"/>
    </row>
    <row r="19" spans="1:10" s="100" customFormat="1" ht="105" x14ac:dyDescent="0.2">
      <c r="A19" s="228"/>
      <c r="B19" s="96" t="s">
        <v>58</v>
      </c>
      <c r="C19" s="97" t="s">
        <v>59</v>
      </c>
      <c r="D19" s="98"/>
      <c r="E19" s="96"/>
      <c r="F19" s="98">
        <v>0.25</v>
      </c>
      <c r="G19" s="99">
        <v>0</v>
      </c>
      <c r="H19" s="99">
        <v>0.5</v>
      </c>
      <c r="I19" s="96" t="s">
        <v>60</v>
      </c>
      <c r="J19" s="98"/>
    </row>
    <row r="20" spans="1:10" s="100" customFormat="1" ht="115" customHeight="1" x14ac:dyDescent="0.2">
      <c r="A20" s="228"/>
      <c r="B20" s="96" t="s">
        <v>61</v>
      </c>
      <c r="C20" s="101" t="s">
        <v>62</v>
      </c>
      <c r="D20" s="98" t="s">
        <v>63</v>
      </c>
      <c r="E20" s="96" t="s">
        <v>293</v>
      </c>
      <c r="F20" s="98"/>
      <c r="G20" s="99"/>
      <c r="H20" s="99"/>
      <c r="I20" s="96"/>
      <c r="J20" s="102"/>
    </row>
    <row r="21" spans="1:10" s="43" customFormat="1" ht="120" customHeight="1" x14ac:dyDescent="0.2">
      <c r="A21" s="228"/>
      <c r="B21" s="180" t="s">
        <v>95</v>
      </c>
      <c r="C21" s="214" t="s">
        <v>98</v>
      </c>
      <c r="D21" s="102" t="s">
        <v>165</v>
      </c>
      <c r="E21" s="211" t="s">
        <v>99</v>
      </c>
      <c r="F21" s="70"/>
      <c r="G21" s="71"/>
      <c r="H21" s="71"/>
      <c r="I21" s="211" t="s">
        <v>167</v>
      </c>
      <c r="J21" s="217" t="s">
        <v>236</v>
      </c>
    </row>
    <row r="22" spans="1:10" s="43" customFormat="1" ht="52" customHeight="1" x14ac:dyDescent="0.2">
      <c r="A22" s="228"/>
      <c r="B22" s="181" t="s">
        <v>97</v>
      </c>
      <c r="C22" s="215"/>
      <c r="D22" s="182" t="s">
        <v>166</v>
      </c>
      <c r="E22" s="212"/>
      <c r="F22" s="69"/>
      <c r="G22" s="67"/>
      <c r="H22" s="67"/>
      <c r="I22" s="212"/>
      <c r="J22" s="218"/>
    </row>
    <row r="23" spans="1:10" s="43" customFormat="1" ht="180" x14ac:dyDescent="0.2">
      <c r="A23" s="228"/>
      <c r="B23" s="96" t="s">
        <v>96</v>
      </c>
      <c r="C23" s="216"/>
      <c r="D23" s="102" t="s">
        <v>299</v>
      </c>
      <c r="E23" s="180" t="s">
        <v>100</v>
      </c>
      <c r="F23" s="72"/>
      <c r="G23" s="67"/>
      <c r="H23" s="67"/>
      <c r="I23" s="213"/>
      <c r="J23" s="219"/>
    </row>
    <row r="24" spans="1:10" s="43" customFormat="1" ht="255" x14ac:dyDescent="0.2">
      <c r="A24" s="179"/>
      <c r="B24" s="96" t="s">
        <v>90</v>
      </c>
      <c r="C24" s="97" t="s">
        <v>91</v>
      </c>
      <c r="D24" s="98" t="s">
        <v>93</v>
      </c>
      <c r="E24" s="96" t="s">
        <v>94</v>
      </c>
      <c r="F24" s="67"/>
      <c r="G24" s="68"/>
      <c r="H24" s="68"/>
      <c r="I24" s="66"/>
      <c r="J24" s="98" t="s">
        <v>237</v>
      </c>
    </row>
    <row r="25" spans="1:10" s="110" customFormat="1" ht="73" customHeight="1" x14ac:dyDescent="0.2">
      <c r="A25" s="103" t="s">
        <v>232</v>
      </c>
      <c r="B25" s="104" t="s">
        <v>231</v>
      </c>
      <c r="C25" s="105" t="s">
        <v>233</v>
      </c>
      <c r="D25" s="106">
        <v>0</v>
      </c>
      <c r="E25" s="107" t="s">
        <v>219</v>
      </c>
      <c r="F25" s="106"/>
      <c r="G25" s="106"/>
      <c r="H25" s="106"/>
      <c r="I25" s="108"/>
      <c r="J25" s="109"/>
    </row>
    <row r="26" spans="1:10" s="117" customFormat="1" ht="42" customHeight="1" x14ac:dyDescent="0.2">
      <c r="A26" s="111" t="s">
        <v>80</v>
      </c>
      <c r="B26" s="112" t="s">
        <v>64</v>
      </c>
      <c r="C26" s="113" t="s">
        <v>65</v>
      </c>
      <c r="D26" s="114" t="s">
        <v>66</v>
      </c>
      <c r="E26" s="112"/>
      <c r="F26" s="114"/>
      <c r="G26" s="115"/>
      <c r="H26" s="115"/>
      <c r="I26" s="112"/>
      <c r="J26" s="116" t="s">
        <v>92</v>
      </c>
    </row>
    <row r="27" spans="1:10" s="117" customFormat="1" ht="45" x14ac:dyDescent="0.2">
      <c r="A27" s="111"/>
      <c r="B27" s="112" t="s">
        <v>67</v>
      </c>
      <c r="C27" s="222" t="s">
        <v>79</v>
      </c>
      <c r="D27" s="114"/>
      <c r="E27" s="112"/>
      <c r="F27" s="114">
        <v>0.25</v>
      </c>
      <c r="G27" s="115">
        <v>0</v>
      </c>
      <c r="H27" s="115">
        <v>1</v>
      </c>
      <c r="I27" s="112" t="s">
        <v>81</v>
      </c>
      <c r="J27" s="116" t="s">
        <v>75</v>
      </c>
    </row>
    <row r="28" spans="1:10" s="117" customFormat="1" ht="68" customHeight="1" x14ac:dyDescent="0.2">
      <c r="A28" s="111"/>
      <c r="B28" s="112" t="s">
        <v>82</v>
      </c>
      <c r="C28" s="223"/>
      <c r="D28" s="114">
        <v>50</v>
      </c>
      <c r="E28" s="112" t="s">
        <v>84</v>
      </c>
      <c r="F28" s="114"/>
      <c r="G28" s="115"/>
      <c r="H28" s="115"/>
      <c r="I28" s="112"/>
      <c r="J28" s="114"/>
    </row>
    <row r="29" spans="1:10" s="117" customFormat="1" ht="65" customHeight="1" x14ac:dyDescent="0.2">
      <c r="A29" s="111"/>
      <c r="B29" s="112" t="s">
        <v>83</v>
      </c>
      <c r="C29" s="224"/>
      <c r="D29" s="114">
        <v>0</v>
      </c>
      <c r="E29" s="112" t="s">
        <v>84</v>
      </c>
      <c r="F29" s="114"/>
      <c r="G29" s="115"/>
      <c r="H29" s="115"/>
      <c r="I29" s="112"/>
      <c r="J29" s="114"/>
    </row>
    <row r="30" spans="1:10" s="117" customFormat="1" ht="77" customHeight="1" x14ac:dyDescent="0.2">
      <c r="A30" s="111"/>
      <c r="B30" s="112" t="s">
        <v>68</v>
      </c>
      <c r="C30" s="118" t="s">
        <v>294</v>
      </c>
      <c r="D30" s="114"/>
      <c r="E30" s="112"/>
      <c r="F30" s="114">
        <v>5</v>
      </c>
      <c r="G30" s="115">
        <v>1</v>
      </c>
      <c r="H30" s="115">
        <v>12</v>
      </c>
      <c r="I30" s="112" t="s">
        <v>306</v>
      </c>
      <c r="J30" s="114" t="s">
        <v>75</v>
      </c>
    </row>
    <row r="31" spans="1:10" s="117" customFormat="1" ht="69" customHeight="1" x14ac:dyDescent="0.2">
      <c r="A31" s="111"/>
      <c r="B31" s="112" t="s">
        <v>76</v>
      </c>
      <c r="C31" s="118" t="s">
        <v>77</v>
      </c>
      <c r="D31" s="114">
        <v>20</v>
      </c>
      <c r="E31" s="112" t="s">
        <v>78</v>
      </c>
      <c r="F31" s="114"/>
      <c r="G31" s="115"/>
      <c r="H31" s="115"/>
      <c r="I31" s="112"/>
      <c r="J31" s="114"/>
    </row>
    <row r="32" spans="1:10" s="117" customFormat="1" ht="60" x14ac:dyDescent="0.2">
      <c r="A32" s="111"/>
      <c r="B32" s="112" t="s">
        <v>69</v>
      </c>
      <c r="C32" s="119" t="s">
        <v>70</v>
      </c>
      <c r="D32" s="114" t="s">
        <v>71</v>
      </c>
      <c r="E32" s="112" t="s">
        <v>72</v>
      </c>
      <c r="F32" s="114" t="s">
        <v>74</v>
      </c>
      <c r="G32" s="115">
        <v>0</v>
      </c>
      <c r="H32" s="115">
        <v>1</v>
      </c>
      <c r="I32" s="112" t="s">
        <v>73</v>
      </c>
      <c r="J32" s="114"/>
    </row>
    <row r="33" spans="1:10" s="124" customFormat="1" ht="180" customHeight="1" x14ac:dyDescent="0.2">
      <c r="A33" s="225" t="s">
        <v>239</v>
      </c>
      <c r="B33" s="120" t="s">
        <v>104</v>
      </c>
      <c r="C33" s="121" t="s">
        <v>105</v>
      </c>
      <c r="D33" s="122" t="b">
        <v>0</v>
      </c>
      <c r="E33" s="120" t="s">
        <v>219</v>
      </c>
      <c r="F33" s="122"/>
      <c r="G33" s="123"/>
      <c r="H33" s="123"/>
      <c r="I33" s="120"/>
      <c r="J33" s="220" t="s">
        <v>238</v>
      </c>
    </row>
    <row r="34" spans="1:10" s="124" customFormat="1" ht="60" x14ac:dyDescent="0.2">
      <c r="A34" s="225"/>
      <c r="B34" s="120" t="s">
        <v>106</v>
      </c>
      <c r="C34" s="121" t="s">
        <v>108</v>
      </c>
      <c r="D34" s="122" t="s">
        <v>107</v>
      </c>
      <c r="E34" s="120" t="s">
        <v>307</v>
      </c>
      <c r="F34" s="122"/>
      <c r="G34" s="123"/>
      <c r="H34" s="123"/>
      <c r="I34" s="120"/>
      <c r="J34" s="221"/>
    </row>
  </sheetData>
  <mergeCells count="19">
    <mergeCell ref="B2:B3"/>
    <mergeCell ref="J2:J3"/>
    <mergeCell ref="C2:C3"/>
    <mergeCell ref="C11:C12"/>
    <mergeCell ref="E11:E12"/>
    <mergeCell ref="J11:J12"/>
    <mergeCell ref="D2:E2"/>
    <mergeCell ref="F2:I2"/>
    <mergeCell ref="A33:A34"/>
    <mergeCell ref="A4:A8"/>
    <mergeCell ref="A10:A12"/>
    <mergeCell ref="A13:A23"/>
    <mergeCell ref="B11:B12"/>
    <mergeCell ref="I21:I23"/>
    <mergeCell ref="C21:C23"/>
    <mergeCell ref="E21:E22"/>
    <mergeCell ref="J21:J23"/>
    <mergeCell ref="J33:J34"/>
    <mergeCell ref="C27:C29"/>
  </mergeCells>
  <pageMargins left="0.7" right="0.7" top="0.75" bottom="0.75" header="0.3" footer="0.3"/>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1"/>
  <sheetViews>
    <sheetView topLeftCell="A110" zoomScale="125" workbookViewId="0">
      <selection activeCell="E133" sqref="E133"/>
    </sheetView>
  </sheetViews>
  <sheetFormatPr baseColWidth="10" defaultRowHeight="16" x14ac:dyDescent="0.2"/>
  <cols>
    <col min="1" max="7" width="10.83203125" style="63"/>
    <col min="8" max="8" width="61.83203125" style="63" bestFit="1" customWidth="1"/>
    <col min="9" max="16384" width="10.83203125" style="63"/>
  </cols>
  <sheetData>
    <row r="1" spans="1:8" ht="17" thickBot="1" x14ac:dyDescent="0.25">
      <c r="A1" s="140" t="s">
        <v>139</v>
      </c>
      <c r="B1" s="141" t="s">
        <v>138</v>
      </c>
      <c r="C1" s="142" t="s">
        <v>137</v>
      </c>
      <c r="D1" s="143" t="s">
        <v>136</v>
      </c>
      <c r="E1" s="144" t="s">
        <v>135</v>
      </c>
      <c r="H1" s="145" t="s">
        <v>151</v>
      </c>
    </row>
    <row r="2" spans="1:8" s="149" customFormat="1" x14ac:dyDescent="0.2">
      <c r="A2" s="125" t="s">
        <v>126</v>
      </c>
      <c r="B2" s="146" t="s">
        <v>116</v>
      </c>
      <c r="C2" s="147" t="s">
        <v>124</v>
      </c>
      <c r="D2" s="126" t="s">
        <v>125</v>
      </c>
      <c r="E2" s="148">
        <v>0.12</v>
      </c>
      <c r="H2" s="244" t="s">
        <v>295</v>
      </c>
    </row>
    <row r="3" spans="1:8" s="149" customFormat="1" x14ac:dyDescent="0.2">
      <c r="A3" s="127" t="s">
        <v>126</v>
      </c>
      <c r="B3" s="150" t="s">
        <v>116</v>
      </c>
      <c r="C3" s="151" t="s">
        <v>124</v>
      </c>
      <c r="D3" s="128" t="s">
        <v>119</v>
      </c>
      <c r="E3" s="152">
        <v>0.88</v>
      </c>
      <c r="H3" s="244"/>
    </row>
    <row r="4" spans="1:8" s="149" customFormat="1" x14ac:dyDescent="0.2">
      <c r="A4" s="127" t="s">
        <v>126</v>
      </c>
      <c r="B4" s="150" t="s">
        <v>116</v>
      </c>
      <c r="C4" s="151" t="s">
        <v>124</v>
      </c>
      <c r="D4" s="128" t="s">
        <v>117</v>
      </c>
      <c r="E4" s="152">
        <v>0</v>
      </c>
      <c r="H4" s="244"/>
    </row>
    <row r="5" spans="1:8" s="149" customFormat="1" x14ac:dyDescent="0.2">
      <c r="A5" s="127" t="s">
        <v>126</v>
      </c>
      <c r="B5" s="150" t="s">
        <v>116</v>
      </c>
      <c r="C5" s="151" t="s">
        <v>123</v>
      </c>
      <c r="D5" s="128" t="s">
        <v>125</v>
      </c>
      <c r="E5" s="148">
        <v>0.12</v>
      </c>
      <c r="H5" s="244"/>
    </row>
    <row r="6" spans="1:8" s="149" customFormat="1" x14ac:dyDescent="0.2">
      <c r="A6" s="127" t="s">
        <v>126</v>
      </c>
      <c r="B6" s="150" t="s">
        <v>116</v>
      </c>
      <c r="C6" s="151" t="s">
        <v>123</v>
      </c>
      <c r="D6" s="128" t="s">
        <v>119</v>
      </c>
      <c r="E6" s="152">
        <v>0.88</v>
      </c>
      <c r="H6" s="244"/>
    </row>
    <row r="7" spans="1:8" s="149" customFormat="1" x14ac:dyDescent="0.2">
      <c r="A7" s="127" t="s">
        <v>126</v>
      </c>
      <c r="B7" s="150" t="s">
        <v>116</v>
      </c>
      <c r="C7" s="151" t="s">
        <v>123</v>
      </c>
      <c r="D7" s="128" t="s">
        <v>117</v>
      </c>
      <c r="E7" s="152">
        <v>0</v>
      </c>
      <c r="H7" s="244"/>
    </row>
    <row r="8" spans="1:8" s="149" customFormat="1" x14ac:dyDescent="0.2">
      <c r="A8" s="127" t="s">
        <v>126</v>
      </c>
      <c r="B8" s="150" t="s">
        <v>116</v>
      </c>
      <c r="C8" s="151" t="s">
        <v>122</v>
      </c>
      <c r="D8" s="128" t="s">
        <v>125</v>
      </c>
      <c r="E8" s="148">
        <v>0.12</v>
      </c>
      <c r="H8" s="244"/>
    </row>
    <row r="9" spans="1:8" s="149" customFormat="1" x14ac:dyDescent="0.2">
      <c r="A9" s="127" t="s">
        <v>126</v>
      </c>
      <c r="B9" s="150" t="s">
        <v>116</v>
      </c>
      <c r="C9" s="151" t="s">
        <v>122</v>
      </c>
      <c r="D9" s="128" t="s">
        <v>119</v>
      </c>
      <c r="E9" s="152">
        <v>0.88</v>
      </c>
      <c r="H9" s="244"/>
    </row>
    <row r="10" spans="1:8" s="149" customFormat="1" x14ac:dyDescent="0.2">
      <c r="A10" s="127" t="s">
        <v>126</v>
      </c>
      <c r="B10" s="150" t="s">
        <v>116</v>
      </c>
      <c r="C10" s="151" t="s">
        <v>122</v>
      </c>
      <c r="D10" s="128" t="s">
        <v>117</v>
      </c>
      <c r="E10" s="152">
        <v>0</v>
      </c>
      <c r="H10" s="244"/>
    </row>
    <row r="11" spans="1:8" s="149" customFormat="1" x14ac:dyDescent="0.2">
      <c r="A11" s="127" t="s">
        <v>126</v>
      </c>
      <c r="B11" s="150" t="s">
        <v>116</v>
      </c>
      <c r="C11" s="151" t="s">
        <v>121</v>
      </c>
      <c r="D11" s="128" t="s">
        <v>125</v>
      </c>
      <c r="E11" s="148">
        <v>0.12</v>
      </c>
      <c r="H11" s="244"/>
    </row>
    <row r="12" spans="1:8" s="149" customFormat="1" x14ac:dyDescent="0.2">
      <c r="A12" s="127" t="s">
        <v>126</v>
      </c>
      <c r="B12" s="150" t="s">
        <v>116</v>
      </c>
      <c r="C12" s="151" t="s">
        <v>121</v>
      </c>
      <c r="D12" s="128" t="s">
        <v>119</v>
      </c>
      <c r="E12" s="152">
        <v>0.88</v>
      </c>
      <c r="H12" s="244"/>
    </row>
    <row r="13" spans="1:8" s="149" customFormat="1" x14ac:dyDescent="0.2">
      <c r="A13" s="127" t="s">
        <v>126</v>
      </c>
      <c r="B13" s="150" t="s">
        <v>116</v>
      </c>
      <c r="C13" s="151" t="s">
        <v>121</v>
      </c>
      <c r="D13" s="128" t="s">
        <v>117</v>
      </c>
      <c r="E13" s="152">
        <v>0</v>
      </c>
      <c r="H13" s="244"/>
    </row>
    <row r="14" spans="1:8" s="149" customFormat="1" x14ac:dyDescent="0.2">
      <c r="A14" s="127" t="s">
        <v>126</v>
      </c>
      <c r="B14" s="150" t="s">
        <v>116</v>
      </c>
      <c r="C14" s="151" t="s">
        <v>120</v>
      </c>
      <c r="D14" s="128" t="s">
        <v>125</v>
      </c>
      <c r="E14" s="148">
        <v>0.12</v>
      </c>
      <c r="H14" s="244"/>
    </row>
    <row r="15" spans="1:8" s="149" customFormat="1" x14ac:dyDescent="0.2">
      <c r="A15" s="127" t="s">
        <v>126</v>
      </c>
      <c r="B15" s="150" t="s">
        <v>116</v>
      </c>
      <c r="C15" s="151" t="s">
        <v>120</v>
      </c>
      <c r="D15" s="128" t="s">
        <v>119</v>
      </c>
      <c r="E15" s="152">
        <v>0.88</v>
      </c>
      <c r="H15" s="244"/>
    </row>
    <row r="16" spans="1:8" s="149" customFormat="1" x14ac:dyDescent="0.2">
      <c r="A16" s="127" t="s">
        <v>126</v>
      </c>
      <c r="B16" s="150" t="s">
        <v>116</v>
      </c>
      <c r="C16" s="151" t="s">
        <v>120</v>
      </c>
      <c r="D16" s="128" t="s">
        <v>117</v>
      </c>
      <c r="E16" s="152">
        <v>0</v>
      </c>
      <c r="H16" s="244"/>
    </row>
    <row r="17" spans="1:8" s="149" customFormat="1" x14ac:dyDescent="0.2">
      <c r="A17" s="127" t="s">
        <v>126</v>
      </c>
      <c r="B17" s="150" t="s">
        <v>116</v>
      </c>
      <c r="C17" s="151" t="s">
        <v>118</v>
      </c>
      <c r="D17" s="128" t="s">
        <v>125</v>
      </c>
      <c r="E17" s="148">
        <v>0.12</v>
      </c>
      <c r="H17" s="244"/>
    </row>
    <row r="18" spans="1:8" s="149" customFormat="1" x14ac:dyDescent="0.2">
      <c r="A18" s="127" t="s">
        <v>126</v>
      </c>
      <c r="B18" s="150" t="s">
        <v>116</v>
      </c>
      <c r="C18" s="151" t="s">
        <v>118</v>
      </c>
      <c r="D18" s="128" t="s">
        <v>119</v>
      </c>
      <c r="E18" s="152">
        <v>0.88</v>
      </c>
      <c r="H18" s="244"/>
    </row>
    <row r="19" spans="1:8" s="149" customFormat="1" x14ac:dyDescent="0.2">
      <c r="A19" s="127" t="s">
        <v>126</v>
      </c>
      <c r="B19" s="150" t="s">
        <v>116</v>
      </c>
      <c r="C19" s="151" t="s">
        <v>118</v>
      </c>
      <c r="D19" s="128" t="s">
        <v>117</v>
      </c>
      <c r="E19" s="152">
        <v>0</v>
      </c>
      <c r="H19" s="244"/>
    </row>
    <row r="20" spans="1:8" s="149" customFormat="1" x14ac:dyDescent="0.2">
      <c r="A20" s="127" t="s">
        <v>126</v>
      </c>
      <c r="B20" s="150" t="s">
        <v>115</v>
      </c>
      <c r="C20" s="151" t="s">
        <v>124</v>
      </c>
      <c r="D20" s="128" t="s">
        <v>125</v>
      </c>
      <c r="E20" s="148">
        <v>0.12</v>
      </c>
      <c r="H20" s="244"/>
    </row>
    <row r="21" spans="1:8" s="149" customFormat="1" x14ac:dyDescent="0.2">
      <c r="A21" s="127" t="s">
        <v>126</v>
      </c>
      <c r="B21" s="150" t="s">
        <v>115</v>
      </c>
      <c r="C21" s="151" t="s">
        <v>124</v>
      </c>
      <c r="D21" s="128" t="s">
        <v>119</v>
      </c>
      <c r="E21" s="152">
        <v>0.88</v>
      </c>
      <c r="H21" s="244"/>
    </row>
    <row r="22" spans="1:8" s="149" customFormat="1" x14ac:dyDescent="0.2">
      <c r="A22" s="127" t="s">
        <v>126</v>
      </c>
      <c r="B22" s="150" t="s">
        <v>115</v>
      </c>
      <c r="C22" s="151" t="s">
        <v>124</v>
      </c>
      <c r="D22" s="128" t="s">
        <v>117</v>
      </c>
      <c r="E22" s="152">
        <v>0</v>
      </c>
      <c r="H22" s="244"/>
    </row>
    <row r="23" spans="1:8" s="149" customFormat="1" x14ac:dyDescent="0.2">
      <c r="A23" s="127" t="s">
        <v>126</v>
      </c>
      <c r="B23" s="150" t="s">
        <v>115</v>
      </c>
      <c r="C23" s="151" t="s">
        <v>123</v>
      </c>
      <c r="D23" s="128" t="s">
        <v>125</v>
      </c>
      <c r="E23" s="148">
        <v>0.12</v>
      </c>
      <c r="H23" s="244"/>
    </row>
    <row r="24" spans="1:8" s="149" customFormat="1" x14ac:dyDescent="0.2">
      <c r="A24" s="127" t="s">
        <v>126</v>
      </c>
      <c r="B24" s="150" t="s">
        <v>115</v>
      </c>
      <c r="C24" s="151" t="s">
        <v>123</v>
      </c>
      <c r="D24" s="128" t="s">
        <v>119</v>
      </c>
      <c r="E24" s="152">
        <v>0.88</v>
      </c>
      <c r="H24" s="244"/>
    </row>
    <row r="25" spans="1:8" s="149" customFormat="1" x14ac:dyDescent="0.2">
      <c r="A25" s="127" t="s">
        <v>126</v>
      </c>
      <c r="B25" s="150" t="s">
        <v>115</v>
      </c>
      <c r="C25" s="151" t="s">
        <v>123</v>
      </c>
      <c r="D25" s="128" t="s">
        <v>117</v>
      </c>
      <c r="E25" s="152">
        <v>0</v>
      </c>
      <c r="H25" s="244"/>
    </row>
    <row r="26" spans="1:8" s="149" customFormat="1" x14ac:dyDescent="0.2">
      <c r="A26" s="127" t="s">
        <v>126</v>
      </c>
      <c r="B26" s="150" t="s">
        <v>115</v>
      </c>
      <c r="C26" s="151" t="s">
        <v>122</v>
      </c>
      <c r="D26" s="128" t="s">
        <v>125</v>
      </c>
      <c r="E26" s="148">
        <v>0.12</v>
      </c>
      <c r="H26" s="244"/>
    </row>
    <row r="27" spans="1:8" s="149" customFormat="1" x14ac:dyDescent="0.2">
      <c r="A27" s="127" t="s">
        <v>126</v>
      </c>
      <c r="B27" s="150" t="s">
        <v>115</v>
      </c>
      <c r="C27" s="151" t="s">
        <v>122</v>
      </c>
      <c r="D27" s="128" t="s">
        <v>119</v>
      </c>
      <c r="E27" s="152">
        <v>0.88</v>
      </c>
      <c r="H27" s="244"/>
    </row>
    <row r="28" spans="1:8" s="149" customFormat="1" x14ac:dyDescent="0.2">
      <c r="A28" s="127" t="s">
        <v>126</v>
      </c>
      <c r="B28" s="150" t="s">
        <v>115</v>
      </c>
      <c r="C28" s="151" t="s">
        <v>122</v>
      </c>
      <c r="D28" s="128" t="s">
        <v>117</v>
      </c>
      <c r="E28" s="152">
        <v>0</v>
      </c>
      <c r="H28" s="244"/>
    </row>
    <row r="29" spans="1:8" s="149" customFormat="1" x14ac:dyDescent="0.2">
      <c r="A29" s="127" t="s">
        <v>126</v>
      </c>
      <c r="B29" s="150" t="s">
        <v>115</v>
      </c>
      <c r="C29" s="151" t="s">
        <v>121</v>
      </c>
      <c r="D29" s="128" t="s">
        <v>125</v>
      </c>
      <c r="E29" s="148">
        <v>0.12</v>
      </c>
      <c r="H29" s="244"/>
    </row>
    <row r="30" spans="1:8" s="149" customFormat="1" x14ac:dyDescent="0.2">
      <c r="A30" s="127" t="s">
        <v>126</v>
      </c>
      <c r="B30" s="150" t="s">
        <v>115</v>
      </c>
      <c r="C30" s="151" t="s">
        <v>121</v>
      </c>
      <c r="D30" s="128" t="s">
        <v>119</v>
      </c>
      <c r="E30" s="152">
        <v>0.88</v>
      </c>
      <c r="H30" s="244"/>
    </row>
    <row r="31" spans="1:8" s="149" customFormat="1" x14ac:dyDescent="0.2">
      <c r="A31" s="127" t="s">
        <v>126</v>
      </c>
      <c r="B31" s="150" t="s">
        <v>115</v>
      </c>
      <c r="C31" s="151" t="s">
        <v>121</v>
      </c>
      <c r="D31" s="128" t="s">
        <v>117</v>
      </c>
      <c r="E31" s="152">
        <v>0</v>
      </c>
      <c r="H31" s="244"/>
    </row>
    <row r="32" spans="1:8" s="149" customFormat="1" x14ac:dyDescent="0.2">
      <c r="A32" s="127" t="s">
        <v>126</v>
      </c>
      <c r="B32" s="150" t="s">
        <v>115</v>
      </c>
      <c r="C32" s="151" t="s">
        <v>120</v>
      </c>
      <c r="D32" s="128" t="s">
        <v>125</v>
      </c>
      <c r="E32" s="148">
        <v>0.12</v>
      </c>
      <c r="H32" s="244"/>
    </row>
    <row r="33" spans="1:8" s="149" customFormat="1" x14ac:dyDescent="0.2">
      <c r="A33" s="127" t="s">
        <v>126</v>
      </c>
      <c r="B33" s="150" t="s">
        <v>115</v>
      </c>
      <c r="C33" s="151" t="s">
        <v>120</v>
      </c>
      <c r="D33" s="128" t="s">
        <v>119</v>
      </c>
      <c r="E33" s="152">
        <v>0.88</v>
      </c>
      <c r="H33" s="244"/>
    </row>
    <row r="34" spans="1:8" s="149" customFormat="1" x14ac:dyDescent="0.2">
      <c r="A34" s="127" t="s">
        <v>126</v>
      </c>
      <c r="B34" s="150" t="s">
        <v>115</v>
      </c>
      <c r="C34" s="151" t="s">
        <v>120</v>
      </c>
      <c r="D34" s="128" t="s">
        <v>117</v>
      </c>
      <c r="E34" s="152">
        <v>0</v>
      </c>
      <c r="H34" s="244"/>
    </row>
    <row r="35" spans="1:8" s="149" customFormat="1" x14ac:dyDescent="0.2">
      <c r="A35" s="127" t="s">
        <v>126</v>
      </c>
      <c r="B35" s="150" t="s">
        <v>115</v>
      </c>
      <c r="C35" s="151" t="s">
        <v>118</v>
      </c>
      <c r="D35" s="128" t="s">
        <v>125</v>
      </c>
      <c r="E35" s="148">
        <v>0.12</v>
      </c>
      <c r="H35" s="244"/>
    </row>
    <row r="36" spans="1:8" s="149" customFormat="1" x14ac:dyDescent="0.2">
      <c r="A36" s="127" t="s">
        <v>126</v>
      </c>
      <c r="B36" s="150" t="s">
        <v>115</v>
      </c>
      <c r="C36" s="151" t="s">
        <v>118</v>
      </c>
      <c r="D36" s="128" t="s">
        <v>119</v>
      </c>
      <c r="E36" s="152">
        <v>0.88</v>
      </c>
      <c r="H36" s="244"/>
    </row>
    <row r="37" spans="1:8" s="149" customFormat="1" x14ac:dyDescent="0.2">
      <c r="A37" s="127" t="s">
        <v>126</v>
      </c>
      <c r="B37" s="150" t="s">
        <v>115</v>
      </c>
      <c r="C37" s="151" t="s">
        <v>118</v>
      </c>
      <c r="D37" s="128" t="s">
        <v>117</v>
      </c>
      <c r="E37" s="152">
        <v>0</v>
      </c>
      <c r="H37" s="244"/>
    </row>
    <row r="38" spans="1:8" s="149" customFormat="1" x14ac:dyDescent="0.2">
      <c r="A38" s="127" t="s">
        <v>126</v>
      </c>
      <c r="B38" s="150" t="s">
        <v>114</v>
      </c>
      <c r="C38" s="151" t="s">
        <v>124</v>
      </c>
      <c r="D38" s="128" t="s">
        <v>125</v>
      </c>
      <c r="E38" s="152">
        <v>0.94</v>
      </c>
      <c r="H38" s="244"/>
    </row>
    <row r="39" spans="1:8" s="149" customFormat="1" x14ac:dyDescent="0.2">
      <c r="A39" s="127" t="s">
        <v>126</v>
      </c>
      <c r="B39" s="150" t="s">
        <v>114</v>
      </c>
      <c r="C39" s="151" t="s">
        <v>124</v>
      </c>
      <c r="D39" s="128" t="s">
        <v>119</v>
      </c>
      <c r="E39" s="152">
        <v>0.06</v>
      </c>
      <c r="H39" s="244"/>
    </row>
    <row r="40" spans="1:8" s="149" customFormat="1" x14ac:dyDescent="0.2">
      <c r="A40" s="127" t="s">
        <v>126</v>
      </c>
      <c r="B40" s="150" t="s">
        <v>114</v>
      </c>
      <c r="C40" s="151" t="s">
        <v>124</v>
      </c>
      <c r="D40" s="128" t="s">
        <v>117</v>
      </c>
      <c r="E40" s="152">
        <v>0</v>
      </c>
      <c r="H40" s="244"/>
    </row>
    <row r="41" spans="1:8" s="149" customFormat="1" x14ac:dyDescent="0.2">
      <c r="A41" s="127" t="s">
        <v>126</v>
      </c>
      <c r="B41" s="150" t="s">
        <v>114</v>
      </c>
      <c r="C41" s="151" t="s">
        <v>123</v>
      </c>
      <c r="D41" s="128" t="s">
        <v>125</v>
      </c>
      <c r="E41" s="152">
        <v>0.94</v>
      </c>
      <c r="H41" s="244"/>
    </row>
    <row r="42" spans="1:8" s="149" customFormat="1" x14ac:dyDescent="0.2">
      <c r="A42" s="127" t="s">
        <v>126</v>
      </c>
      <c r="B42" s="150" t="s">
        <v>114</v>
      </c>
      <c r="C42" s="151" t="s">
        <v>123</v>
      </c>
      <c r="D42" s="128" t="s">
        <v>119</v>
      </c>
      <c r="E42" s="152">
        <v>0.06</v>
      </c>
      <c r="H42" s="244"/>
    </row>
    <row r="43" spans="1:8" s="149" customFormat="1" x14ac:dyDescent="0.2">
      <c r="A43" s="127" t="s">
        <v>126</v>
      </c>
      <c r="B43" s="150" t="s">
        <v>114</v>
      </c>
      <c r="C43" s="151" t="s">
        <v>123</v>
      </c>
      <c r="D43" s="128" t="s">
        <v>117</v>
      </c>
      <c r="E43" s="152">
        <v>0</v>
      </c>
      <c r="H43" s="244"/>
    </row>
    <row r="44" spans="1:8" s="149" customFormat="1" x14ac:dyDescent="0.2">
      <c r="A44" s="127" t="s">
        <v>126</v>
      </c>
      <c r="B44" s="150" t="s">
        <v>114</v>
      </c>
      <c r="C44" s="151" t="s">
        <v>122</v>
      </c>
      <c r="D44" s="128" t="s">
        <v>125</v>
      </c>
      <c r="E44" s="152">
        <v>0.94</v>
      </c>
      <c r="H44" s="244"/>
    </row>
    <row r="45" spans="1:8" s="149" customFormat="1" x14ac:dyDescent="0.2">
      <c r="A45" s="127" t="s">
        <v>126</v>
      </c>
      <c r="B45" s="150" t="s">
        <v>114</v>
      </c>
      <c r="C45" s="151" t="s">
        <v>122</v>
      </c>
      <c r="D45" s="128" t="s">
        <v>119</v>
      </c>
      <c r="E45" s="152">
        <v>0.06</v>
      </c>
      <c r="H45" s="244"/>
    </row>
    <row r="46" spans="1:8" s="149" customFormat="1" x14ac:dyDescent="0.2">
      <c r="A46" s="127" t="s">
        <v>126</v>
      </c>
      <c r="B46" s="150" t="s">
        <v>114</v>
      </c>
      <c r="C46" s="151" t="s">
        <v>122</v>
      </c>
      <c r="D46" s="128" t="s">
        <v>117</v>
      </c>
      <c r="E46" s="152">
        <v>0</v>
      </c>
      <c r="H46" s="244"/>
    </row>
    <row r="47" spans="1:8" s="149" customFormat="1" x14ac:dyDescent="0.2">
      <c r="A47" s="127" t="s">
        <v>126</v>
      </c>
      <c r="B47" s="150" t="s">
        <v>114</v>
      </c>
      <c r="C47" s="151" t="s">
        <v>121</v>
      </c>
      <c r="D47" s="128" t="s">
        <v>125</v>
      </c>
      <c r="E47" s="152">
        <v>0.94</v>
      </c>
      <c r="H47" s="244"/>
    </row>
    <row r="48" spans="1:8" s="149" customFormat="1" x14ac:dyDescent="0.2">
      <c r="A48" s="127" t="s">
        <v>126</v>
      </c>
      <c r="B48" s="150" t="s">
        <v>114</v>
      </c>
      <c r="C48" s="151" t="s">
        <v>121</v>
      </c>
      <c r="D48" s="128" t="s">
        <v>119</v>
      </c>
      <c r="E48" s="152">
        <v>0.06</v>
      </c>
      <c r="H48" s="244"/>
    </row>
    <row r="49" spans="1:8" s="149" customFormat="1" x14ac:dyDescent="0.2">
      <c r="A49" s="127" t="s">
        <v>126</v>
      </c>
      <c r="B49" s="150" t="s">
        <v>114</v>
      </c>
      <c r="C49" s="151" t="s">
        <v>121</v>
      </c>
      <c r="D49" s="128" t="s">
        <v>117</v>
      </c>
      <c r="E49" s="152">
        <v>0</v>
      </c>
      <c r="H49" s="244"/>
    </row>
    <row r="50" spans="1:8" s="149" customFormat="1" x14ac:dyDescent="0.2">
      <c r="A50" s="127" t="s">
        <v>126</v>
      </c>
      <c r="B50" s="150" t="s">
        <v>114</v>
      </c>
      <c r="C50" s="151" t="s">
        <v>120</v>
      </c>
      <c r="D50" s="128" t="s">
        <v>125</v>
      </c>
      <c r="E50" s="152">
        <v>0.94</v>
      </c>
      <c r="H50" s="244"/>
    </row>
    <row r="51" spans="1:8" s="149" customFormat="1" x14ac:dyDescent="0.2">
      <c r="A51" s="127" t="s">
        <v>126</v>
      </c>
      <c r="B51" s="150" t="s">
        <v>114</v>
      </c>
      <c r="C51" s="151" t="s">
        <v>120</v>
      </c>
      <c r="D51" s="128" t="s">
        <v>119</v>
      </c>
      <c r="E51" s="152">
        <v>0.06</v>
      </c>
      <c r="H51" s="244"/>
    </row>
    <row r="52" spans="1:8" s="149" customFormat="1" x14ac:dyDescent="0.2">
      <c r="A52" s="127" t="s">
        <v>126</v>
      </c>
      <c r="B52" s="150" t="s">
        <v>114</v>
      </c>
      <c r="C52" s="151" t="s">
        <v>120</v>
      </c>
      <c r="D52" s="128" t="s">
        <v>117</v>
      </c>
      <c r="E52" s="152">
        <v>0</v>
      </c>
      <c r="H52" s="244"/>
    </row>
    <row r="53" spans="1:8" s="149" customFormat="1" x14ac:dyDescent="0.2">
      <c r="A53" s="127" t="s">
        <v>126</v>
      </c>
      <c r="B53" s="150" t="s">
        <v>114</v>
      </c>
      <c r="C53" s="151" t="s">
        <v>118</v>
      </c>
      <c r="D53" s="128" t="s">
        <v>125</v>
      </c>
      <c r="E53" s="152">
        <v>0.94</v>
      </c>
      <c r="H53" s="244"/>
    </row>
    <row r="54" spans="1:8" s="149" customFormat="1" x14ac:dyDescent="0.2">
      <c r="A54" s="127" t="s">
        <v>126</v>
      </c>
      <c r="B54" s="150" t="s">
        <v>114</v>
      </c>
      <c r="C54" s="151" t="s">
        <v>118</v>
      </c>
      <c r="D54" s="128" t="s">
        <v>119</v>
      </c>
      <c r="E54" s="152">
        <v>0.06</v>
      </c>
      <c r="H54" s="244"/>
    </row>
    <row r="55" spans="1:8" s="149" customFormat="1" x14ac:dyDescent="0.2">
      <c r="A55" s="127" t="s">
        <v>126</v>
      </c>
      <c r="B55" s="150" t="s">
        <v>114</v>
      </c>
      <c r="C55" s="151" t="s">
        <v>118</v>
      </c>
      <c r="D55" s="128" t="s">
        <v>117</v>
      </c>
      <c r="E55" s="152">
        <v>0</v>
      </c>
      <c r="H55" s="244"/>
    </row>
    <row r="56" spans="1:8" s="149" customFormat="1" x14ac:dyDescent="0.2">
      <c r="A56" s="127" t="s">
        <v>126</v>
      </c>
      <c r="B56" s="150" t="s">
        <v>113</v>
      </c>
      <c r="C56" s="151" t="s">
        <v>124</v>
      </c>
      <c r="D56" s="128" t="s">
        <v>125</v>
      </c>
      <c r="E56" s="152">
        <v>0.94</v>
      </c>
      <c r="H56" s="244"/>
    </row>
    <row r="57" spans="1:8" s="149" customFormat="1" x14ac:dyDescent="0.2">
      <c r="A57" s="127" t="s">
        <v>126</v>
      </c>
      <c r="B57" s="150" t="s">
        <v>113</v>
      </c>
      <c r="C57" s="151" t="s">
        <v>124</v>
      </c>
      <c r="D57" s="128" t="s">
        <v>119</v>
      </c>
      <c r="E57" s="152">
        <v>0.06</v>
      </c>
      <c r="H57" s="244"/>
    </row>
    <row r="58" spans="1:8" s="149" customFormat="1" x14ac:dyDescent="0.2">
      <c r="A58" s="127" t="s">
        <v>126</v>
      </c>
      <c r="B58" s="150" t="s">
        <v>113</v>
      </c>
      <c r="C58" s="151" t="s">
        <v>124</v>
      </c>
      <c r="D58" s="128" t="s">
        <v>117</v>
      </c>
      <c r="E58" s="152">
        <v>0</v>
      </c>
      <c r="H58" s="244"/>
    </row>
    <row r="59" spans="1:8" s="149" customFormat="1" x14ac:dyDescent="0.2">
      <c r="A59" s="127" t="s">
        <v>126</v>
      </c>
      <c r="B59" s="150" t="s">
        <v>113</v>
      </c>
      <c r="C59" s="151" t="s">
        <v>123</v>
      </c>
      <c r="D59" s="128" t="s">
        <v>125</v>
      </c>
      <c r="E59" s="152">
        <v>0.94</v>
      </c>
      <c r="H59" s="244"/>
    </row>
    <row r="60" spans="1:8" s="149" customFormat="1" x14ac:dyDescent="0.2">
      <c r="A60" s="127" t="s">
        <v>126</v>
      </c>
      <c r="B60" s="150" t="s">
        <v>113</v>
      </c>
      <c r="C60" s="151" t="s">
        <v>123</v>
      </c>
      <c r="D60" s="128" t="s">
        <v>119</v>
      </c>
      <c r="E60" s="152">
        <v>0.06</v>
      </c>
      <c r="H60" s="244"/>
    </row>
    <row r="61" spans="1:8" s="149" customFormat="1" x14ac:dyDescent="0.2">
      <c r="A61" s="127" t="s">
        <v>126</v>
      </c>
      <c r="B61" s="150" t="s">
        <v>113</v>
      </c>
      <c r="C61" s="151" t="s">
        <v>123</v>
      </c>
      <c r="D61" s="128" t="s">
        <v>117</v>
      </c>
      <c r="E61" s="152">
        <v>0</v>
      </c>
      <c r="H61" s="244"/>
    </row>
    <row r="62" spans="1:8" s="149" customFormat="1" x14ac:dyDescent="0.2">
      <c r="A62" s="127" t="s">
        <v>126</v>
      </c>
      <c r="B62" s="150" t="s">
        <v>113</v>
      </c>
      <c r="C62" s="151" t="s">
        <v>122</v>
      </c>
      <c r="D62" s="128" t="s">
        <v>125</v>
      </c>
      <c r="E62" s="152">
        <v>0.94</v>
      </c>
      <c r="H62" s="244"/>
    </row>
    <row r="63" spans="1:8" s="149" customFormat="1" x14ac:dyDescent="0.2">
      <c r="A63" s="127" t="s">
        <v>126</v>
      </c>
      <c r="B63" s="150" t="s">
        <v>113</v>
      </c>
      <c r="C63" s="151" t="s">
        <v>122</v>
      </c>
      <c r="D63" s="128" t="s">
        <v>119</v>
      </c>
      <c r="E63" s="152">
        <v>0.06</v>
      </c>
      <c r="H63" s="244"/>
    </row>
    <row r="64" spans="1:8" s="149" customFormat="1" x14ac:dyDescent="0.2">
      <c r="A64" s="127" t="s">
        <v>126</v>
      </c>
      <c r="B64" s="150" t="s">
        <v>113</v>
      </c>
      <c r="C64" s="151" t="s">
        <v>122</v>
      </c>
      <c r="D64" s="128" t="s">
        <v>117</v>
      </c>
      <c r="E64" s="152">
        <v>0</v>
      </c>
      <c r="H64" s="244"/>
    </row>
    <row r="65" spans="1:8" s="149" customFormat="1" x14ac:dyDescent="0.2">
      <c r="A65" s="127" t="s">
        <v>126</v>
      </c>
      <c r="B65" s="150" t="s">
        <v>113</v>
      </c>
      <c r="C65" s="151" t="s">
        <v>121</v>
      </c>
      <c r="D65" s="128" t="s">
        <v>125</v>
      </c>
      <c r="E65" s="152">
        <v>0.94</v>
      </c>
      <c r="H65" s="244"/>
    </row>
    <row r="66" spans="1:8" s="149" customFormat="1" x14ac:dyDescent="0.2">
      <c r="A66" s="127" t="s">
        <v>126</v>
      </c>
      <c r="B66" s="150" t="s">
        <v>113</v>
      </c>
      <c r="C66" s="151" t="s">
        <v>121</v>
      </c>
      <c r="D66" s="128" t="s">
        <v>119</v>
      </c>
      <c r="E66" s="152">
        <v>0.06</v>
      </c>
      <c r="H66" s="244"/>
    </row>
    <row r="67" spans="1:8" s="149" customFormat="1" x14ac:dyDescent="0.2">
      <c r="A67" s="127" t="s">
        <v>126</v>
      </c>
      <c r="B67" s="150" t="s">
        <v>113</v>
      </c>
      <c r="C67" s="151" t="s">
        <v>121</v>
      </c>
      <c r="D67" s="128" t="s">
        <v>117</v>
      </c>
      <c r="E67" s="152">
        <v>0</v>
      </c>
      <c r="H67" s="244"/>
    </row>
    <row r="68" spans="1:8" s="149" customFormat="1" x14ac:dyDescent="0.2">
      <c r="A68" s="127" t="s">
        <v>126</v>
      </c>
      <c r="B68" s="150" t="s">
        <v>113</v>
      </c>
      <c r="C68" s="151" t="s">
        <v>120</v>
      </c>
      <c r="D68" s="128" t="s">
        <v>125</v>
      </c>
      <c r="E68" s="152">
        <v>0.94</v>
      </c>
      <c r="H68" s="244"/>
    </row>
    <row r="69" spans="1:8" s="149" customFormat="1" x14ac:dyDescent="0.2">
      <c r="A69" s="127" t="s">
        <v>126</v>
      </c>
      <c r="B69" s="150" t="s">
        <v>113</v>
      </c>
      <c r="C69" s="151" t="s">
        <v>120</v>
      </c>
      <c r="D69" s="128" t="s">
        <v>119</v>
      </c>
      <c r="E69" s="152">
        <v>0.06</v>
      </c>
      <c r="H69" s="244"/>
    </row>
    <row r="70" spans="1:8" s="149" customFormat="1" x14ac:dyDescent="0.2">
      <c r="A70" s="127" t="s">
        <v>126</v>
      </c>
      <c r="B70" s="150" t="s">
        <v>113</v>
      </c>
      <c r="C70" s="151" t="s">
        <v>120</v>
      </c>
      <c r="D70" s="128" t="s">
        <v>117</v>
      </c>
      <c r="E70" s="152">
        <v>0</v>
      </c>
      <c r="H70" s="244"/>
    </row>
    <row r="71" spans="1:8" s="149" customFormat="1" x14ac:dyDescent="0.2">
      <c r="A71" s="127" t="s">
        <v>126</v>
      </c>
      <c r="B71" s="150" t="s">
        <v>113</v>
      </c>
      <c r="C71" s="151" t="s">
        <v>118</v>
      </c>
      <c r="D71" s="128" t="s">
        <v>125</v>
      </c>
      <c r="E71" s="152">
        <v>0.94</v>
      </c>
      <c r="H71" s="244"/>
    </row>
    <row r="72" spans="1:8" s="149" customFormat="1" x14ac:dyDescent="0.2">
      <c r="A72" s="127" t="s">
        <v>126</v>
      </c>
      <c r="B72" s="150" t="s">
        <v>113</v>
      </c>
      <c r="C72" s="151" t="s">
        <v>118</v>
      </c>
      <c r="D72" s="128" t="s">
        <v>119</v>
      </c>
      <c r="E72" s="152">
        <v>0.06</v>
      </c>
      <c r="H72" s="244"/>
    </row>
    <row r="73" spans="1:8" s="149" customFormat="1" x14ac:dyDescent="0.2">
      <c r="A73" s="127" t="s">
        <v>126</v>
      </c>
      <c r="B73" s="150" t="s">
        <v>113</v>
      </c>
      <c r="C73" s="151" t="s">
        <v>118</v>
      </c>
      <c r="D73" s="128" t="s">
        <v>117</v>
      </c>
      <c r="E73" s="152">
        <v>0</v>
      </c>
      <c r="H73" s="244"/>
    </row>
    <row r="74" spans="1:8" s="149" customFormat="1" x14ac:dyDescent="0.2">
      <c r="A74" s="127" t="s">
        <v>126</v>
      </c>
      <c r="B74" s="150" t="s">
        <v>111</v>
      </c>
      <c r="C74" s="151" t="s">
        <v>124</v>
      </c>
      <c r="D74" s="128" t="s">
        <v>125</v>
      </c>
      <c r="E74" s="152">
        <v>0.94</v>
      </c>
      <c r="H74" s="244"/>
    </row>
    <row r="75" spans="1:8" s="149" customFormat="1" x14ac:dyDescent="0.2">
      <c r="A75" s="127" t="s">
        <v>126</v>
      </c>
      <c r="B75" s="150" t="s">
        <v>111</v>
      </c>
      <c r="C75" s="151" t="s">
        <v>124</v>
      </c>
      <c r="D75" s="128" t="s">
        <v>119</v>
      </c>
      <c r="E75" s="152">
        <v>0.06</v>
      </c>
      <c r="H75" s="244"/>
    </row>
    <row r="76" spans="1:8" s="149" customFormat="1" x14ac:dyDescent="0.2">
      <c r="A76" s="127" t="s">
        <v>126</v>
      </c>
      <c r="B76" s="150" t="s">
        <v>111</v>
      </c>
      <c r="C76" s="151" t="s">
        <v>124</v>
      </c>
      <c r="D76" s="128" t="s">
        <v>117</v>
      </c>
      <c r="E76" s="152">
        <v>0</v>
      </c>
      <c r="H76" s="244"/>
    </row>
    <row r="77" spans="1:8" s="149" customFormat="1" x14ac:dyDescent="0.2">
      <c r="A77" s="127" t="s">
        <v>126</v>
      </c>
      <c r="B77" s="150" t="s">
        <v>111</v>
      </c>
      <c r="C77" s="151" t="s">
        <v>123</v>
      </c>
      <c r="D77" s="128" t="s">
        <v>125</v>
      </c>
      <c r="E77" s="152">
        <v>0.94</v>
      </c>
      <c r="H77" s="244"/>
    </row>
    <row r="78" spans="1:8" s="149" customFormat="1" x14ac:dyDescent="0.2">
      <c r="A78" s="127" t="s">
        <v>126</v>
      </c>
      <c r="B78" s="150" t="s">
        <v>111</v>
      </c>
      <c r="C78" s="151" t="s">
        <v>123</v>
      </c>
      <c r="D78" s="128" t="s">
        <v>119</v>
      </c>
      <c r="E78" s="152">
        <v>0.06</v>
      </c>
      <c r="H78" s="244"/>
    </row>
    <row r="79" spans="1:8" s="149" customFormat="1" x14ac:dyDescent="0.2">
      <c r="A79" s="127" t="s">
        <v>126</v>
      </c>
      <c r="B79" s="150" t="s">
        <v>111</v>
      </c>
      <c r="C79" s="151" t="s">
        <v>123</v>
      </c>
      <c r="D79" s="128" t="s">
        <v>117</v>
      </c>
      <c r="E79" s="152">
        <v>0</v>
      </c>
      <c r="H79" s="244"/>
    </row>
    <row r="80" spans="1:8" s="149" customFormat="1" x14ac:dyDescent="0.2">
      <c r="A80" s="127" t="s">
        <v>126</v>
      </c>
      <c r="B80" s="150" t="s">
        <v>111</v>
      </c>
      <c r="C80" s="151" t="s">
        <v>122</v>
      </c>
      <c r="D80" s="128" t="s">
        <v>125</v>
      </c>
      <c r="E80" s="152">
        <v>0.94</v>
      </c>
      <c r="H80" s="244"/>
    </row>
    <row r="81" spans="1:8" s="149" customFormat="1" x14ac:dyDescent="0.2">
      <c r="A81" s="127" t="s">
        <v>126</v>
      </c>
      <c r="B81" s="150" t="s">
        <v>111</v>
      </c>
      <c r="C81" s="151" t="s">
        <v>122</v>
      </c>
      <c r="D81" s="128" t="s">
        <v>119</v>
      </c>
      <c r="E81" s="152">
        <v>0.06</v>
      </c>
      <c r="H81" s="244"/>
    </row>
    <row r="82" spans="1:8" s="149" customFormat="1" x14ac:dyDescent="0.2">
      <c r="A82" s="127" t="s">
        <v>126</v>
      </c>
      <c r="B82" s="150" t="s">
        <v>111</v>
      </c>
      <c r="C82" s="151" t="s">
        <v>122</v>
      </c>
      <c r="D82" s="128" t="s">
        <v>117</v>
      </c>
      <c r="E82" s="152">
        <v>0</v>
      </c>
      <c r="H82" s="244"/>
    </row>
    <row r="83" spans="1:8" s="149" customFormat="1" x14ac:dyDescent="0.2">
      <c r="A83" s="127" t="s">
        <v>126</v>
      </c>
      <c r="B83" s="150" t="s">
        <v>111</v>
      </c>
      <c r="C83" s="151" t="s">
        <v>121</v>
      </c>
      <c r="D83" s="128" t="s">
        <v>125</v>
      </c>
      <c r="E83" s="152">
        <v>0.94</v>
      </c>
      <c r="H83" s="244"/>
    </row>
    <row r="84" spans="1:8" s="149" customFormat="1" x14ac:dyDescent="0.2">
      <c r="A84" s="127" t="s">
        <v>126</v>
      </c>
      <c r="B84" s="150" t="s">
        <v>111</v>
      </c>
      <c r="C84" s="151" t="s">
        <v>121</v>
      </c>
      <c r="D84" s="128" t="s">
        <v>119</v>
      </c>
      <c r="E84" s="152">
        <v>0.06</v>
      </c>
      <c r="H84" s="244"/>
    </row>
    <row r="85" spans="1:8" s="149" customFormat="1" x14ac:dyDescent="0.2">
      <c r="A85" s="127" t="s">
        <v>126</v>
      </c>
      <c r="B85" s="150" t="s">
        <v>111</v>
      </c>
      <c r="C85" s="151" t="s">
        <v>121</v>
      </c>
      <c r="D85" s="128" t="s">
        <v>117</v>
      </c>
      <c r="E85" s="152">
        <v>0</v>
      </c>
      <c r="H85" s="244"/>
    </row>
    <row r="86" spans="1:8" s="149" customFormat="1" x14ac:dyDescent="0.2">
      <c r="A86" s="127" t="s">
        <v>126</v>
      </c>
      <c r="B86" s="150" t="s">
        <v>111</v>
      </c>
      <c r="C86" s="151" t="s">
        <v>120</v>
      </c>
      <c r="D86" s="128" t="s">
        <v>125</v>
      </c>
      <c r="E86" s="152">
        <v>0.94</v>
      </c>
      <c r="H86" s="244"/>
    </row>
    <row r="87" spans="1:8" s="149" customFormat="1" x14ac:dyDescent="0.2">
      <c r="A87" s="127" t="s">
        <v>126</v>
      </c>
      <c r="B87" s="150" t="s">
        <v>111</v>
      </c>
      <c r="C87" s="151" t="s">
        <v>120</v>
      </c>
      <c r="D87" s="128" t="s">
        <v>119</v>
      </c>
      <c r="E87" s="152">
        <v>0.06</v>
      </c>
      <c r="H87" s="244"/>
    </row>
    <row r="88" spans="1:8" s="149" customFormat="1" x14ac:dyDescent="0.2">
      <c r="A88" s="127" t="s">
        <v>126</v>
      </c>
      <c r="B88" s="150" t="s">
        <v>111</v>
      </c>
      <c r="C88" s="151" t="s">
        <v>120</v>
      </c>
      <c r="D88" s="128" t="s">
        <v>117</v>
      </c>
      <c r="E88" s="152">
        <v>0</v>
      </c>
      <c r="H88" s="244"/>
    </row>
    <row r="89" spans="1:8" s="149" customFormat="1" x14ac:dyDescent="0.2">
      <c r="A89" s="127" t="s">
        <v>126</v>
      </c>
      <c r="B89" s="150" t="s">
        <v>111</v>
      </c>
      <c r="C89" s="151" t="s">
        <v>118</v>
      </c>
      <c r="D89" s="128" t="s">
        <v>125</v>
      </c>
      <c r="E89" s="152">
        <v>0.94</v>
      </c>
      <c r="H89" s="244"/>
    </row>
    <row r="90" spans="1:8" s="149" customFormat="1" x14ac:dyDescent="0.2">
      <c r="A90" s="127" t="s">
        <v>126</v>
      </c>
      <c r="B90" s="150" t="s">
        <v>111</v>
      </c>
      <c r="C90" s="151" t="s">
        <v>118</v>
      </c>
      <c r="D90" s="128" t="s">
        <v>119</v>
      </c>
      <c r="E90" s="152">
        <v>0.06</v>
      </c>
      <c r="H90" s="244"/>
    </row>
    <row r="91" spans="1:8" s="149" customFormat="1" x14ac:dyDescent="0.2">
      <c r="A91" s="127" t="s">
        <v>126</v>
      </c>
      <c r="B91" s="150" t="s">
        <v>111</v>
      </c>
      <c r="C91" s="151" t="s">
        <v>118</v>
      </c>
      <c r="D91" s="128" t="s">
        <v>117</v>
      </c>
      <c r="E91" s="152">
        <v>0</v>
      </c>
      <c r="F91" s="153"/>
      <c r="H91" s="244"/>
    </row>
    <row r="92" spans="1:8" s="138" customFormat="1" x14ac:dyDescent="0.2">
      <c r="A92" s="129" t="s">
        <v>134</v>
      </c>
      <c r="B92" s="134" t="s">
        <v>116</v>
      </c>
      <c r="C92" s="135" t="s">
        <v>110</v>
      </c>
      <c r="D92" s="130" t="s">
        <v>132</v>
      </c>
      <c r="E92" s="136">
        <v>0.96</v>
      </c>
      <c r="F92" s="137"/>
      <c r="H92" s="245" t="s">
        <v>309</v>
      </c>
    </row>
    <row r="93" spans="1:8" s="138" customFormat="1" x14ac:dyDescent="0.2">
      <c r="A93" s="129" t="s">
        <v>134</v>
      </c>
      <c r="B93" s="134" t="s">
        <v>116</v>
      </c>
      <c r="C93" s="135" t="s">
        <v>110</v>
      </c>
      <c r="D93" s="130" t="s">
        <v>131</v>
      </c>
      <c r="E93" s="136">
        <v>0</v>
      </c>
      <c r="F93" s="137"/>
      <c r="H93" s="245"/>
    </row>
    <row r="94" spans="1:8" s="138" customFormat="1" x14ac:dyDescent="0.2">
      <c r="A94" s="129" t="s">
        <v>134</v>
      </c>
      <c r="B94" s="134" t="s">
        <v>116</v>
      </c>
      <c r="C94" s="135" t="s">
        <v>110</v>
      </c>
      <c r="D94" s="130" t="s">
        <v>133</v>
      </c>
      <c r="E94" s="136">
        <v>0.04</v>
      </c>
      <c r="F94" s="137"/>
      <c r="H94" s="245"/>
    </row>
    <row r="95" spans="1:8" s="138" customFormat="1" x14ac:dyDescent="0.2">
      <c r="A95" s="129" t="s">
        <v>134</v>
      </c>
      <c r="B95" s="134" t="s">
        <v>116</v>
      </c>
      <c r="C95" s="135" t="s">
        <v>110</v>
      </c>
      <c r="D95" s="130" t="s">
        <v>117</v>
      </c>
      <c r="E95" s="136">
        <v>0</v>
      </c>
      <c r="F95" s="137"/>
      <c r="H95" s="245"/>
    </row>
    <row r="96" spans="1:8" s="138" customFormat="1" x14ac:dyDescent="0.2">
      <c r="A96" s="129" t="s">
        <v>134</v>
      </c>
      <c r="B96" s="134" t="s">
        <v>115</v>
      </c>
      <c r="C96" s="135" t="s">
        <v>110</v>
      </c>
      <c r="D96" s="130" t="s">
        <v>132</v>
      </c>
      <c r="E96" s="136">
        <v>0.96</v>
      </c>
      <c r="F96" s="137"/>
      <c r="H96" s="245"/>
    </row>
    <row r="97" spans="1:8" s="138" customFormat="1" x14ac:dyDescent="0.2">
      <c r="A97" s="129" t="s">
        <v>134</v>
      </c>
      <c r="B97" s="134" t="s">
        <v>115</v>
      </c>
      <c r="C97" s="135" t="s">
        <v>110</v>
      </c>
      <c r="D97" s="130" t="s">
        <v>131</v>
      </c>
      <c r="E97" s="136">
        <v>0</v>
      </c>
      <c r="F97" s="137"/>
      <c r="H97" s="245"/>
    </row>
    <row r="98" spans="1:8" s="138" customFormat="1" x14ac:dyDescent="0.2">
      <c r="A98" s="129" t="s">
        <v>134</v>
      </c>
      <c r="B98" s="134" t="s">
        <v>115</v>
      </c>
      <c r="C98" s="135" t="s">
        <v>110</v>
      </c>
      <c r="D98" s="130" t="s">
        <v>133</v>
      </c>
      <c r="E98" s="136">
        <v>0.04</v>
      </c>
      <c r="F98" s="137"/>
      <c r="H98" s="245"/>
    </row>
    <row r="99" spans="1:8" s="138" customFormat="1" x14ac:dyDescent="0.2">
      <c r="A99" s="129" t="s">
        <v>134</v>
      </c>
      <c r="B99" s="134" t="s">
        <v>115</v>
      </c>
      <c r="C99" s="135" t="s">
        <v>110</v>
      </c>
      <c r="D99" s="130" t="s">
        <v>117</v>
      </c>
      <c r="E99" s="136">
        <v>0</v>
      </c>
      <c r="F99" s="137"/>
      <c r="H99" s="245"/>
    </row>
    <row r="100" spans="1:8" s="138" customFormat="1" x14ac:dyDescent="0.2">
      <c r="A100" s="129" t="s">
        <v>134</v>
      </c>
      <c r="B100" s="134" t="s">
        <v>114</v>
      </c>
      <c r="C100" s="135" t="s">
        <v>110</v>
      </c>
      <c r="D100" s="130" t="s">
        <v>132</v>
      </c>
      <c r="E100" s="136">
        <v>0.96</v>
      </c>
      <c r="F100" s="137"/>
      <c r="H100" s="245"/>
    </row>
    <row r="101" spans="1:8" s="138" customFormat="1" x14ac:dyDescent="0.2">
      <c r="A101" s="129" t="s">
        <v>134</v>
      </c>
      <c r="B101" s="134" t="s">
        <v>114</v>
      </c>
      <c r="C101" s="135" t="s">
        <v>110</v>
      </c>
      <c r="D101" s="130" t="s">
        <v>131</v>
      </c>
      <c r="E101" s="136">
        <v>0</v>
      </c>
      <c r="F101" s="137"/>
      <c r="H101" s="245"/>
    </row>
    <row r="102" spans="1:8" s="138" customFormat="1" x14ac:dyDescent="0.2">
      <c r="A102" s="129" t="s">
        <v>134</v>
      </c>
      <c r="B102" s="134" t="s">
        <v>114</v>
      </c>
      <c r="C102" s="135" t="s">
        <v>110</v>
      </c>
      <c r="D102" s="130" t="s">
        <v>133</v>
      </c>
      <c r="E102" s="136">
        <v>0.04</v>
      </c>
      <c r="F102" s="137"/>
      <c r="H102" s="245"/>
    </row>
    <row r="103" spans="1:8" s="138" customFormat="1" x14ac:dyDescent="0.2">
      <c r="A103" s="129" t="s">
        <v>134</v>
      </c>
      <c r="B103" s="134" t="s">
        <v>114</v>
      </c>
      <c r="C103" s="135" t="s">
        <v>110</v>
      </c>
      <c r="D103" s="130" t="s">
        <v>117</v>
      </c>
      <c r="E103" s="136">
        <v>0</v>
      </c>
      <c r="F103" s="137"/>
      <c r="H103" s="245"/>
    </row>
    <row r="104" spans="1:8" s="138" customFormat="1" x14ac:dyDescent="0.2">
      <c r="A104" s="129" t="s">
        <v>134</v>
      </c>
      <c r="B104" s="134" t="s">
        <v>113</v>
      </c>
      <c r="C104" s="135" t="s">
        <v>110</v>
      </c>
      <c r="D104" s="130" t="s">
        <v>132</v>
      </c>
      <c r="E104" s="136">
        <v>0.3</v>
      </c>
      <c r="F104" s="137"/>
      <c r="H104" s="245"/>
    </row>
    <row r="105" spans="1:8" s="138" customFormat="1" x14ac:dyDescent="0.2">
      <c r="A105" s="129" t="s">
        <v>134</v>
      </c>
      <c r="B105" s="134" t="s">
        <v>113</v>
      </c>
      <c r="C105" s="135" t="s">
        <v>110</v>
      </c>
      <c r="D105" s="130" t="s">
        <v>131</v>
      </c>
      <c r="E105" s="136">
        <v>0</v>
      </c>
      <c r="F105" s="137"/>
      <c r="H105" s="245"/>
    </row>
    <row r="106" spans="1:8" s="138" customFormat="1" x14ac:dyDescent="0.2">
      <c r="A106" s="129" t="s">
        <v>134</v>
      </c>
      <c r="B106" s="134" t="s">
        <v>113</v>
      </c>
      <c r="C106" s="135" t="s">
        <v>110</v>
      </c>
      <c r="D106" s="130" t="s">
        <v>133</v>
      </c>
      <c r="E106" s="136">
        <v>0.7</v>
      </c>
      <c r="F106" s="137"/>
      <c r="H106" s="245"/>
    </row>
    <row r="107" spans="1:8" s="138" customFormat="1" x14ac:dyDescent="0.2">
      <c r="A107" s="129" t="s">
        <v>134</v>
      </c>
      <c r="B107" s="134" t="s">
        <v>113</v>
      </c>
      <c r="C107" s="135" t="s">
        <v>110</v>
      </c>
      <c r="D107" s="130" t="s">
        <v>117</v>
      </c>
      <c r="E107" s="136">
        <v>0</v>
      </c>
      <c r="F107" s="137"/>
      <c r="H107" s="245"/>
    </row>
    <row r="108" spans="1:8" s="138" customFormat="1" x14ac:dyDescent="0.2">
      <c r="A108" s="129" t="s">
        <v>134</v>
      </c>
      <c r="B108" s="134" t="s">
        <v>111</v>
      </c>
      <c r="C108" s="135" t="s">
        <v>110</v>
      </c>
      <c r="D108" s="130" t="s">
        <v>132</v>
      </c>
      <c r="E108" s="136">
        <v>0</v>
      </c>
      <c r="F108" s="137"/>
      <c r="H108" s="245"/>
    </row>
    <row r="109" spans="1:8" s="138" customFormat="1" x14ac:dyDescent="0.2">
      <c r="A109" s="129" t="s">
        <v>134</v>
      </c>
      <c r="B109" s="134" t="s">
        <v>111</v>
      </c>
      <c r="C109" s="135" t="s">
        <v>110</v>
      </c>
      <c r="D109" s="130" t="s">
        <v>131</v>
      </c>
      <c r="E109" s="136">
        <v>0</v>
      </c>
      <c r="F109" s="137"/>
      <c r="H109" s="245"/>
    </row>
    <row r="110" spans="1:8" s="138" customFormat="1" x14ac:dyDescent="0.2">
      <c r="A110" s="129" t="s">
        <v>134</v>
      </c>
      <c r="B110" s="134" t="s">
        <v>111</v>
      </c>
      <c r="C110" s="135" t="s">
        <v>110</v>
      </c>
      <c r="D110" s="130" t="s">
        <v>133</v>
      </c>
      <c r="E110" s="136">
        <v>1</v>
      </c>
      <c r="F110" s="137"/>
      <c r="H110" s="245"/>
    </row>
    <row r="111" spans="1:8" s="138" customFormat="1" x14ac:dyDescent="0.2">
      <c r="A111" s="129" t="s">
        <v>134</v>
      </c>
      <c r="B111" s="134" t="s">
        <v>111</v>
      </c>
      <c r="C111" s="135" t="s">
        <v>110</v>
      </c>
      <c r="D111" s="130" t="s">
        <v>117</v>
      </c>
      <c r="E111" s="136">
        <v>0</v>
      </c>
      <c r="F111" s="137"/>
      <c r="H111" s="245"/>
    </row>
    <row r="112" spans="1:8" s="157" customFormat="1" x14ac:dyDescent="0.2">
      <c r="A112" s="131" t="s">
        <v>127</v>
      </c>
      <c r="B112" s="154" t="s">
        <v>116</v>
      </c>
      <c r="C112" s="155" t="s">
        <v>110</v>
      </c>
      <c r="D112" s="132" t="s">
        <v>132</v>
      </c>
      <c r="E112" s="156">
        <v>0.7</v>
      </c>
      <c r="H112" s="246" t="s">
        <v>297</v>
      </c>
    </row>
    <row r="113" spans="1:8" s="157" customFormat="1" x14ac:dyDescent="0.2">
      <c r="A113" s="131" t="s">
        <v>127</v>
      </c>
      <c r="B113" s="154" t="s">
        <v>116</v>
      </c>
      <c r="C113" s="155" t="s">
        <v>110</v>
      </c>
      <c r="D113" s="132" t="s">
        <v>131</v>
      </c>
      <c r="E113" s="156">
        <v>0</v>
      </c>
      <c r="H113" s="246"/>
    </row>
    <row r="114" spans="1:8" s="157" customFormat="1" x14ac:dyDescent="0.2">
      <c r="A114" s="131" t="s">
        <v>127</v>
      </c>
      <c r="B114" s="154" t="s">
        <v>116</v>
      </c>
      <c r="C114" s="155" t="s">
        <v>110</v>
      </c>
      <c r="D114" s="132" t="s">
        <v>130</v>
      </c>
      <c r="E114" s="156">
        <v>0</v>
      </c>
      <c r="H114" s="246"/>
    </row>
    <row r="115" spans="1:8" s="157" customFormat="1" x14ac:dyDescent="0.2">
      <c r="A115" s="131" t="s">
        <v>127</v>
      </c>
      <c r="B115" s="154" t="s">
        <v>116</v>
      </c>
      <c r="C115" s="155" t="s">
        <v>110</v>
      </c>
      <c r="D115" s="132" t="s">
        <v>129</v>
      </c>
      <c r="E115" s="156">
        <v>0.3</v>
      </c>
      <c r="H115" s="246"/>
    </row>
    <row r="116" spans="1:8" s="157" customFormat="1" x14ac:dyDescent="0.2">
      <c r="A116" s="131" t="s">
        <v>127</v>
      </c>
      <c r="B116" s="154" t="s">
        <v>116</v>
      </c>
      <c r="C116" s="155" t="s">
        <v>110</v>
      </c>
      <c r="D116" s="132" t="s">
        <v>128</v>
      </c>
      <c r="E116" s="156">
        <v>0</v>
      </c>
      <c r="H116" s="246"/>
    </row>
    <row r="117" spans="1:8" s="157" customFormat="1" x14ac:dyDescent="0.2">
      <c r="A117" s="131" t="s">
        <v>127</v>
      </c>
      <c r="B117" s="154" t="s">
        <v>116</v>
      </c>
      <c r="C117" s="155" t="s">
        <v>110</v>
      </c>
      <c r="D117" s="132" t="s">
        <v>117</v>
      </c>
      <c r="E117" s="156">
        <v>0</v>
      </c>
      <c r="H117" s="246"/>
    </row>
    <row r="118" spans="1:8" s="157" customFormat="1" x14ac:dyDescent="0.2">
      <c r="A118" s="131" t="s">
        <v>127</v>
      </c>
      <c r="B118" s="154" t="s">
        <v>115</v>
      </c>
      <c r="C118" s="155" t="s">
        <v>110</v>
      </c>
      <c r="D118" s="132" t="s">
        <v>132</v>
      </c>
      <c r="E118" s="156">
        <v>0.6</v>
      </c>
      <c r="H118" s="246"/>
    </row>
    <row r="119" spans="1:8" s="157" customFormat="1" x14ac:dyDescent="0.2">
      <c r="A119" s="131" t="s">
        <v>127</v>
      </c>
      <c r="B119" s="154" t="s">
        <v>115</v>
      </c>
      <c r="C119" s="155" t="s">
        <v>110</v>
      </c>
      <c r="D119" s="132" t="s">
        <v>131</v>
      </c>
      <c r="E119" s="156">
        <v>0</v>
      </c>
      <c r="H119" s="246"/>
    </row>
    <row r="120" spans="1:8" s="157" customFormat="1" x14ac:dyDescent="0.2">
      <c r="A120" s="131" t="s">
        <v>127</v>
      </c>
      <c r="B120" s="154" t="s">
        <v>115</v>
      </c>
      <c r="C120" s="155" t="s">
        <v>110</v>
      </c>
      <c r="D120" s="132" t="s">
        <v>130</v>
      </c>
      <c r="E120" s="156">
        <v>0</v>
      </c>
      <c r="H120" s="246"/>
    </row>
    <row r="121" spans="1:8" s="157" customFormat="1" x14ac:dyDescent="0.2">
      <c r="A121" s="131" t="s">
        <v>127</v>
      </c>
      <c r="B121" s="154" t="s">
        <v>115</v>
      </c>
      <c r="C121" s="155" t="s">
        <v>110</v>
      </c>
      <c r="D121" s="132" t="s">
        <v>129</v>
      </c>
      <c r="E121" s="156">
        <v>0.4</v>
      </c>
      <c r="H121" s="246"/>
    </row>
    <row r="122" spans="1:8" s="157" customFormat="1" x14ac:dyDescent="0.2">
      <c r="A122" s="131" t="s">
        <v>127</v>
      </c>
      <c r="B122" s="154" t="s">
        <v>115</v>
      </c>
      <c r="C122" s="155" t="s">
        <v>110</v>
      </c>
      <c r="D122" s="132" t="s">
        <v>128</v>
      </c>
      <c r="E122" s="156">
        <v>0</v>
      </c>
      <c r="H122" s="246"/>
    </row>
    <row r="123" spans="1:8" s="157" customFormat="1" x14ac:dyDescent="0.2">
      <c r="A123" s="131" t="s">
        <v>127</v>
      </c>
      <c r="B123" s="154" t="s">
        <v>115</v>
      </c>
      <c r="C123" s="155" t="s">
        <v>110</v>
      </c>
      <c r="D123" s="132" t="s">
        <v>117</v>
      </c>
      <c r="E123" s="156">
        <v>0</v>
      </c>
      <c r="H123" s="246"/>
    </row>
    <row r="124" spans="1:8" s="157" customFormat="1" x14ac:dyDescent="0.2">
      <c r="A124" s="131" t="s">
        <v>127</v>
      </c>
      <c r="B124" s="154" t="s">
        <v>114</v>
      </c>
      <c r="C124" s="155" t="s">
        <v>110</v>
      </c>
      <c r="D124" s="132" t="s">
        <v>132</v>
      </c>
      <c r="E124" s="156">
        <v>0.42</v>
      </c>
      <c r="H124" s="246"/>
    </row>
    <row r="125" spans="1:8" s="157" customFormat="1" x14ac:dyDescent="0.2">
      <c r="A125" s="131" t="s">
        <v>127</v>
      </c>
      <c r="B125" s="154" t="s">
        <v>114</v>
      </c>
      <c r="C125" s="155" t="s">
        <v>110</v>
      </c>
      <c r="D125" s="132" t="s">
        <v>131</v>
      </c>
      <c r="E125" s="156">
        <v>0</v>
      </c>
      <c r="H125" s="246"/>
    </row>
    <row r="126" spans="1:8" s="157" customFormat="1" x14ac:dyDescent="0.2">
      <c r="A126" s="131" t="s">
        <v>127</v>
      </c>
      <c r="B126" s="154" t="s">
        <v>114</v>
      </c>
      <c r="C126" s="155" t="s">
        <v>110</v>
      </c>
      <c r="D126" s="132" t="s">
        <v>130</v>
      </c>
      <c r="E126" s="156">
        <v>0</v>
      </c>
      <c r="H126" s="246"/>
    </row>
    <row r="127" spans="1:8" s="157" customFormat="1" x14ac:dyDescent="0.2">
      <c r="A127" s="131" t="s">
        <v>127</v>
      </c>
      <c r="B127" s="154" t="s">
        <v>114</v>
      </c>
      <c r="C127" s="155" t="s">
        <v>110</v>
      </c>
      <c r="D127" s="132" t="s">
        <v>129</v>
      </c>
      <c r="E127" s="156">
        <v>0.57999999999999996</v>
      </c>
      <c r="H127" s="246"/>
    </row>
    <row r="128" spans="1:8" s="157" customFormat="1" x14ac:dyDescent="0.2">
      <c r="A128" s="131" t="s">
        <v>127</v>
      </c>
      <c r="B128" s="154" t="s">
        <v>114</v>
      </c>
      <c r="C128" s="155" t="s">
        <v>110</v>
      </c>
      <c r="D128" s="132" t="s">
        <v>128</v>
      </c>
      <c r="E128" s="156">
        <v>0</v>
      </c>
      <c r="H128" s="246"/>
    </row>
    <row r="129" spans="1:8" s="157" customFormat="1" x14ac:dyDescent="0.2">
      <c r="A129" s="131" t="s">
        <v>127</v>
      </c>
      <c r="B129" s="154" t="s">
        <v>114</v>
      </c>
      <c r="C129" s="155" t="s">
        <v>110</v>
      </c>
      <c r="D129" s="132" t="s">
        <v>117</v>
      </c>
      <c r="E129" s="156">
        <v>0</v>
      </c>
      <c r="H129" s="246"/>
    </row>
    <row r="130" spans="1:8" s="157" customFormat="1" x14ac:dyDescent="0.2">
      <c r="A130" s="131" t="s">
        <v>127</v>
      </c>
      <c r="B130" s="154" t="s">
        <v>113</v>
      </c>
      <c r="C130" s="155" t="s">
        <v>110</v>
      </c>
      <c r="D130" s="132" t="s">
        <v>132</v>
      </c>
      <c r="E130" s="156">
        <v>0.05</v>
      </c>
      <c r="H130" s="246"/>
    </row>
    <row r="131" spans="1:8" s="157" customFormat="1" x14ac:dyDescent="0.2">
      <c r="A131" s="131" t="s">
        <v>127</v>
      </c>
      <c r="B131" s="154" t="s">
        <v>113</v>
      </c>
      <c r="C131" s="155" t="s">
        <v>110</v>
      </c>
      <c r="D131" s="132" t="s">
        <v>131</v>
      </c>
      <c r="E131" s="156">
        <v>0</v>
      </c>
      <c r="H131" s="246"/>
    </row>
    <row r="132" spans="1:8" s="157" customFormat="1" x14ac:dyDescent="0.2">
      <c r="A132" s="131" t="s">
        <v>127</v>
      </c>
      <c r="B132" s="154" t="s">
        <v>113</v>
      </c>
      <c r="C132" s="155" t="s">
        <v>110</v>
      </c>
      <c r="D132" s="132" t="s">
        <v>130</v>
      </c>
      <c r="E132" s="156">
        <v>0</v>
      </c>
      <c r="H132" s="246"/>
    </row>
    <row r="133" spans="1:8" s="157" customFormat="1" x14ac:dyDescent="0.2">
      <c r="A133" s="131" t="s">
        <v>127</v>
      </c>
      <c r="B133" s="154" t="s">
        <v>113</v>
      </c>
      <c r="C133" s="155" t="s">
        <v>110</v>
      </c>
      <c r="D133" s="132" t="s">
        <v>129</v>
      </c>
      <c r="E133" s="156">
        <v>0.95</v>
      </c>
      <c r="H133" s="246"/>
    </row>
    <row r="134" spans="1:8" s="157" customFormat="1" x14ac:dyDescent="0.2">
      <c r="A134" s="131" t="s">
        <v>127</v>
      </c>
      <c r="B134" s="154" t="s">
        <v>113</v>
      </c>
      <c r="C134" s="155" t="s">
        <v>110</v>
      </c>
      <c r="D134" s="132" t="s">
        <v>128</v>
      </c>
      <c r="E134" s="156">
        <v>0</v>
      </c>
      <c r="H134" s="246"/>
    </row>
    <row r="135" spans="1:8" s="157" customFormat="1" x14ac:dyDescent="0.2">
      <c r="A135" s="131" t="s">
        <v>127</v>
      </c>
      <c r="B135" s="154" t="s">
        <v>113</v>
      </c>
      <c r="C135" s="155" t="s">
        <v>110</v>
      </c>
      <c r="D135" s="132" t="s">
        <v>117</v>
      </c>
      <c r="E135" s="156">
        <v>0</v>
      </c>
      <c r="H135" s="246"/>
    </row>
    <row r="136" spans="1:8" s="157" customFormat="1" x14ac:dyDescent="0.2">
      <c r="A136" s="131" t="s">
        <v>127</v>
      </c>
      <c r="B136" s="154" t="s">
        <v>111</v>
      </c>
      <c r="C136" s="155" t="s">
        <v>110</v>
      </c>
      <c r="D136" s="132" t="s">
        <v>132</v>
      </c>
      <c r="E136" s="156">
        <v>0</v>
      </c>
      <c r="H136" s="246"/>
    </row>
    <row r="137" spans="1:8" s="157" customFormat="1" x14ac:dyDescent="0.2">
      <c r="A137" s="131" t="s">
        <v>127</v>
      </c>
      <c r="B137" s="154" t="s">
        <v>111</v>
      </c>
      <c r="C137" s="155" t="s">
        <v>110</v>
      </c>
      <c r="D137" s="132" t="s">
        <v>131</v>
      </c>
      <c r="E137" s="156">
        <v>0</v>
      </c>
      <c r="H137" s="246"/>
    </row>
    <row r="138" spans="1:8" s="157" customFormat="1" x14ac:dyDescent="0.2">
      <c r="A138" s="131" t="s">
        <v>127</v>
      </c>
      <c r="B138" s="154" t="s">
        <v>111</v>
      </c>
      <c r="C138" s="155" t="s">
        <v>110</v>
      </c>
      <c r="D138" s="132" t="s">
        <v>130</v>
      </c>
      <c r="E138" s="156">
        <v>0</v>
      </c>
      <c r="H138" s="246"/>
    </row>
    <row r="139" spans="1:8" s="157" customFormat="1" x14ac:dyDescent="0.2">
      <c r="A139" s="131" t="s">
        <v>127</v>
      </c>
      <c r="B139" s="154" t="s">
        <v>111</v>
      </c>
      <c r="C139" s="155" t="s">
        <v>110</v>
      </c>
      <c r="D139" s="132" t="s">
        <v>129</v>
      </c>
      <c r="E139" s="156">
        <v>0.05</v>
      </c>
      <c r="H139" s="246"/>
    </row>
    <row r="140" spans="1:8" s="157" customFormat="1" x14ac:dyDescent="0.2">
      <c r="A140" s="131" t="s">
        <v>127</v>
      </c>
      <c r="B140" s="154" t="s">
        <v>111</v>
      </c>
      <c r="C140" s="155" t="s">
        <v>110</v>
      </c>
      <c r="D140" s="132" t="s">
        <v>128</v>
      </c>
      <c r="E140" s="156">
        <v>0.95</v>
      </c>
      <c r="H140" s="246"/>
    </row>
    <row r="141" spans="1:8" s="157" customFormat="1" x14ac:dyDescent="0.2">
      <c r="A141" s="131" t="s">
        <v>127</v>
      </c>
      <c r="B141" s="154" t="s">
        <v>111</v>
      </c>
      <c r="C141" s="155" t="s">
        <v>110</v>
      </c>
      <c r="D141" s="132" t="s">
        <v>117</v>
      </c>
      <c r="E141" s="156">
        <v>0</v>
      </c>
      <c r="H141" s="246"/>
    </row>
  </sheetData>
  <mergeCells count="3">
    <mergeCell ref="H2:H91"/>
    <mergeCell ref="H92:H111"/>
    <mergeCell ref="H112:H141"/>
  </mergeCells>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H19" sqref="H19"/>
    </sheetView>
  </sheetViews>
  <sheetFormatPr baseColWidth="10" defaultRowHeight="16" x14ac:dyDescent="0.2"/>
  <cols>
    <col min="5" max="5" width="46.33203125" customWidth="1"/>
  </cols>
  <sheetData>
    <row r="1" spans="1:5" s="8" customFormat="1" ht="17" thickBot="1" x14ac:dyDescent="0.25">
      <c r="A1" s="10" t="s">
        <v>139</v>
      </c>
      <c r="B1" s="10" t="s">
        <v>137</v>
      </c>
      <c r="C1" s="11" t="s">
        <v>148</v>
      </c>
      <c r="E1" s="38" t="s">
        <v>10</v>
      </c>
    </row>
    <row r="2" spans="1:5" x14ac:dyDescent="0.2">
      <c r="A2" s="125" t="s">
        <v>147</v>
      </c>
      <c r="B2" s="125" t="s">
        <v>124</v>
      </c>
      <c r="C2" s="126">
        <v>0.96499999999999997</v>
      </c>
      <c r="D2" s="63"/>
      <c r="E2" s="247" t="s">
        <v>308</v>
      </c>
    </row>
    <row r="3" spans="1:5" x14ac:dyDescent="0.2">
      <c r="A3" s="127" t="s">
        <v>147</v>
      </c>
      <c r="B3" s="127" t="s">
        <v>123</v>
      </c>
      <c r="C3" s="128">
        <v>0.96499999999999997</v>
      </c>
      <c r="D3" s="63"/>
      <c r="E3" s="247"/>
    </row>
    <row r="4" spans="1:5" x14ac:dyDescent="0.2">
      <c r="A4" s="127" t="s">
        <v>147</v>
      </c>
      <c r="B4" s="127" t="s">
        <v>122</v>
      </c>
      <c r="C4" s="128">
        <v>0.5</v>
      </c>
      <c r="D4" s="63"/>
      <c r="E4" s="247"/>
    </row>
    <row r="5" spans="1:5" x14ac:dyDescent="0.2">
      <c r="A5" s="127" t="s">
        <v>147</v>
      </c>
      <c r="B5" s="127" t="s">
        <v>121</v>
      </c>
      <c r="C5" s="128">
        <v>0</v>
      </c>
      <c r="D5" s="63"/>
      <c r="E5" s="247"/>
    </row>
    <row r="6" spans="1:5" x14ac:dyDescent="0.2">
      <c r="A6" s="129" t="s">
        <v>146</v>
      </c>
      <c r="B6" s="129" t="s">
        <v>124</v>
      </c>
      <c r="C6" s="130">
        <v>0.96499999999999997</v>
      </c>
      <c r="D6" s="63"/>
      <c r="E6" s="247"/>
    </row>
    <row r="7" spans="1:5" x14ac:dyDescent="0.2">
      <c r="A7" s="129" t="s">
        <v>146</v>
      </c>
      <c r="B7" s="129" t="s">
        <v>123</v>
      </c>
      <c r="C7" s="130">
        <v>0.96499999999999997</v>
      </c>
      <c r="D7" s="63"/>
      <c r="E7" s="247"/>
    </row>
    <row r="8" spans="1:5" x14ac:dyDescent="0.2">
      <c r="A8" s="129" t="s">
        <v>146</v>
      </c>
      <c r="B8" s="129" t="s">
        <v>122</v>
      </c>
      <c r="C8" s="130">
        <v>0.5</v>
      </c>
      <c r="D8" s="63"/>
      <c r="E8" s="247"/>
    </row>
    <row r="9" spans="1:5" x14ac:dyDescent="0.2">
      <c r="A9" s="129" t="s">
        <v>146</v>
      </c>
      <c r="B9" s="129" t="s">
        <v>121</v>
      </c>
      <c r="C9" s="130">
        <v>0</v>
      </c>
      <c r="D9" s="63"/>
      <c r="E9" s="247"/>
    </row>
    <row r="10" spans="1:5" x14ac:dyDescent="0.2">
      <c r="A10" s="131" t="s">
        <v>145</v>
      </c>
      <c r="B10" s="131" t="s">
        <v>124</v>
      </c>
      <c r="C10" s="132">
        <v>0.96499999999999997</v>
      </c>
      <c r="D10" s="63"/>
      <c r="E10" s="247"/>
    </row>
    <row r="11" spans="1:5" x14ac:dyDescent="0.2">
      <c r="A11" s="131" t="s">
        <v>145</v>
      </c>
      <c r="B11" s="131" t="s">
        <v>123</v>
      </c>
      <c r="C11" s="132">
        <v>0.96499999999999997</v>
      </c>
      <c r="D11" s="63"/>
      <c r="E11" s="247"/>
    </row>
    <row r="12" spans="1:5" x14ac:dyDescent="0.2">
      <c r="A12" s="131" t="s">
        <v>145</v>
      </c>
      <c r="B12" s="131" t="s">
        <v>122</v>
      </c>
      <c r="C12" s="132">
        <v>0.96499999999999997</v>
      </c>
      <c r="D12" s="63"/>
      <c r="E12" s="247"/>
    </row>
    <row r="13" spans="1:5" x14ac:dyDescent="0.2">
      <c r="A13" s="131" t="s">
        <v>145</v>
      </c>
      <c r="B13" s="131" t="s">
        <v>121</v>
      </c>
      <c r="C13" s="132">
        <v>0</v>
      </c>
      <c r="D13" s="63"/>
      <c r="E13" s="247"/>
    </row>
    <row r="18" spans="2:2" x14ac:dyDescent="0.2">
      <c r="B18" s="63"/>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6"/>
  <sheetViews>
    <sheetView zoomScale="125" workbookViewId="0">
      <selection activeCell="F15" sqref="F15"/>
    </sheetView>
  </sheetViews>
  <sheetFormatPr baseColWidth="10" defaultRowHeight="16" x14ac:dyDescent="0.2"/>
  <cols>
    <col min="1" max="1" width="23" style="63" bestFit="1" customWidth="1"/>
    <col min="2" max="5" width="10.83203125" style="63"/>
    <col min="6" max="6" width="112.6640625" style="63" bestFit="1" customWidth="1"/>
    <col min="7" max="16384" width="10.83203125" style="63"/>
  </cols>
  <sheetData>
    <row r="1" spans="1:6" ht="17" thickBot="1" x14ac:dyDescent="0.25">
      <c r="A1" s="140" t="s">
        <v>139</v>
      </c>
      <c r="B1" s="143" t="s">
        <v>138</v>
      </c>
      <c r="C1" s="158" t="s">
        <v>137</v>
      </c>
      <c r="D1" s="143" t="s">
        <v>144</v>
      </c>
      <c r="F1" s="145" t="s">
        <v>151</v>
      </c>
    </row>
    <row r="2" spans="1:6" s="149" customFormat="1" x14ac:dyDescent="0.2">
      <c r="A2" s="125" t="s">
        <v>112</v>
      </c>
      <c r="B2" s="126" t="s">
        <v>114</v>
      </c>
      <c r="C2" s="159" t="s">
        <v>110</v>
      </c>
      <c r="D2" s="126">
        <v>0</v>
      </c>
      <c r="F2" s="160" t="s">
        <v>240</v>
      </c>
    </row>
    <row r="3" spans="1:6" s="149" customFormat="1" x14ac:dyDescent="0.2">
      <c r="A3" s="127" t="s">
        <v>112</v>
      </c>
      <c r="B3" s="128" t="s">
        <v>113</v>
      </c>
      <c r="C3" s="161" t="s">
        <v>110</v>
      </c>
      <c r="D3" s="128">
        <v>0.95</v>
      </c>
      <c r="F3" s="162" t="s">
        <v>241</v>
      </c>
    </row>
    <row r="4" spans="1:6" s="149" customFormat="1" x14ac:dyDescent="0.2">
      <c r="A4" s="127" t="s">
        <v>112</v>
      </c>
      <c r="B4" s="128" t="s">
        <v>111</v>
      </c>
      <c r="C4" s="161" t="s">
        <v>110</v>
      </c>
      <c r="D4" s="128">
        <v>0</v>
      </c>
      <c r="F4" s="162" t="s">
        <v>242</v>
      </c>
    </row>
    <row r="5" spans="1:6" s="138" customFormat="1" ht="34" x14ac:dyDescent="0.2">
      <c r="A5" s="129" t="s">
        <v>109</v>
      </c>
      <c r="B5" s="130" t="s">
        <v>111</v>
      </c>
      <c r="C5" s="163" t="s">
        <v>110</v>
      </c>
      <c r="D5" s="130">
        <v>0.8</v>
      </c>
      <c r="F5" s="139" t="s">
        <v>249</v>
      </c>
    </row>
    <row r="6" spans="1:6" x14ac:dyDescent="0.2">
      <c r="F6" s="133"/>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26"/>
  <sheetViews>
    <sheetView topLeftCell="E1" zoomScale="144" workbookViewId="0">
      <selection activeCell="F19" sqref="F19"/>
    </sheetView>
  </sheetViews>
  <sheetFormatPr baseColWidth="10" defaultRowHeight="14" x14ac:dyDescent="0.2"/>
  <cols>
    <col min="1" max="1" width="4.1640625" style="6" customWidth="1"/>
    <col min="2" max="2" width="23.33203125" style="5" customWidth="1"/>
    <col min="3" max="5" width="14.33203125" style="5" customWidth="1"/>
    <col min="6" max="6" width="13.5" style="5" customWidth="1"/>
    <col min="7" max="7" width="10.83203125" style="45"/>
    <col min="8" max="8" width="14.33203125" style="5" customWidth="1"/>
    <col min="9" max="9" width="15.5" style="5" customWidth="1"/>
    <col min="10" max="16384" width="10.83203125" style="5"/>
  </cols>
  <sheetData>
    <row r="2" spans="1:21" ht="16" customHeight="1" x14ac:dyDescent="0.2">
      <c r="B2" s="262" t="s">
        <v>152</v>
      </c>
      <c r="C2" s="264" t="s">
        <v>8</v>
      </c>
      <c r="D2" s="265"/>
      <c r="E2" s="265"/>
      <c r="F2" s="266"/>
      <c r="G2" s="279" t="s">
        <v>9</v>
      </c>
      <c r="H2" s="262" t="s">
        <v>260</v>
      </c>
      <c r="I2" s="264" t="s">
        <v>10</v>
      </c>
      <c r="J2" s="265"/>
      <c r="K2" s="274"/>
    </row>
    <row r="3" spans="1:21" ht="17" customHeight="1" thickBot="1" x14ac:dyDescent="0.25">
      <c r="B3" s="263"/>
      <c r="C3" s="267"/>
      <c r="D3" s="268"/>
      <c r="E3" s="268"/>
      <c r="F3" s="269"/>
      <c r="G3" s="280"/>
      <c r="H3" s="263"/>
      <c r="I3" s="267"/>
      <c r="J3" s="268"/>
      <c r="K3" s="275"/>
    </row>
    <row r="4" spans="1:21" s="44" customFormat="1" ht="270" x14ac:dyDescent="0.2">
      <c r="A4" s="46"/>
      <c r="B4" s="164" t="s">
        <v>153</v>
      </c>
      <c r="C4" s="270" t="s">
        <v>312</v>
      </c>
      <c r="D4" s="271"/>
      <c r="E4" s="271"/>
      <c r="F4" s="272"/>
      <c r="G4" s="165" t="s">
        <v>267</v>
      </c>
      <c r="H4" s="166" t="s">
        <v>268</v>
      </c>
      <c r="I4" s="276" t="s">
        <v>288</v>
      </c>
      <c r="J4" s="277"/>
      <c r="K4" s="278"/>
    </row>
    <row r="5" spans="1:21" s="44" customFormat="1" ht="37" customHeight="1" x14ac:dyDescent="0.2">
      <c r="A5" s="46"/>
      <c r="B5" s="84" t="s">
        <v>154</v>
      </c>
      <c r="C5" s="248" t="s">
        <v>313</v>
      </c>
      <c r="D5" s="249"/>
      <c r="E5" s="249"/>
      <c r="F5" s="273"/>
      <c r="G5" s="167">
        <v>0.8</v>
      </c>
      <c r="H5" s="168" t="s">
        <v>298</v>
      </c>
      <c r="I5" s="251" t="s">
        <v>266</v>
      </c>
      <c r="J5" s="252"/>
      <c r="K5" s="253"/>
      <c r="L5" s="5"/>
      <c r="M5" s="5"/>
      <c r="N5" s="5"/>
    </row>
    <row r="6" spans="1:21" s="44" customFormat="1" ht="48" customHeight="1" x14ac:dyDescent="0.2">
      <c r="A6" s="46"/>
      <c r="B6" s="84" t="s">
        <v>155</v>
      </c>
      <c r="C6" s="248" t="s">
        <v>314</v>
      </c>
      <c r="D6" s="249"/>
      <c r="E6" s="249"/>
      <c r="F6" s="273"/>
      <c r="G6" s="167">
        <v>0.8</v>
      </c>
      <c r="H6" s="169" t="s">
        <v>298</v>
      </c>
      <c r="I6" s="251" t="s">
        <v>265</v>
      </c>
      <c r="J6" s="252"/>
      <c r="K6" s="253"/>
      <c r="L6" s="5"/>
      <c r="M6" s="5"/>
      <c r="N6" s="5"/>
    </row>
    <row r="7" spans="1:21" s="44" customFormat="1" ht="180" customHeight="1" x14ac:dyDescent="0.2">
      <c r="A7" s="46"/>
      <c r="B7" s="84" t="s">
        <v>289</v>
      </c>
      <c r="C7" s="248" t="s">
        <v>290</v>
      </c>
      <c r="D7" s="249"/>
      <c r="E7" s="249"/>
      <c r="F7" s="273"/>
      <c r="G7" s="167">
        <v>1</v>
      </c>
      <c r="H7" s="169"/>
      <c r="I7" s="251" t="s">
        <v>291</v>
      </c>
      <c r="J7" s="252"/>
      <c r="K7" s="253"/>
      <c r="L7" s="5"/>
      <c r="M7" s="5"/>
      <c r="N7" s="5"/>
    </row>
    <row r="8" spans="1:21" s="44" customFormat="1" ht="60" x14ac:dyDescent="0.2">
      <c r="A8" s="46"/>
      <c r="B8" s="84" t="s">
        <v>156</v>
      </c>
      <c r="C8" s="248" t="s">
        <v>262</v>
      </c>
      <c r="D8" s="249"/>
      <c r="E8" s="249"/>
      <c r="F8" s="273"/>
      <c r="G8" s="167">
        <v>1</v>
      </c>
      <c r="H8" s="168" t="s">
        <v>263</v>
      </c>
      <c r="I8" s="251"/>
      <c r="J8" s="252"/>
      <c r="K8" s="253"/>
      <c r="L8" s="5"/>
      <c r="M8" s="5"/>
      <c r="N8" s="5"/>
    </row>
    <row r="9" spans="1:21" s="44" customFormat="1" ht="90" customHeight="1" x14ac:dyDescent="0.2">
      <c r="A9" s="46"/>
      <c r="B9" s="84" t="s">
        <v>157</v>
      </c>
      <c r="C9" s="248" t="s">
        <v>158</v>
      </c>
      <c r="D9" s="249"/>
      <c r="E9" s="249"/>
      <c r="F9" s="273"/>
      <c r="G9" s="167">
        <v>0.95</v>
      </c>
      <c r="H9" s="168" t="s">
        <v>298</v>
      </c>
      <c r="I9" s="248" t="s">
        <v>261</v>
      </c>
      <c r="J9" s="249"/>
      <c r="K9" s="250"/>
      <c r="L9" s="5"/>
      <c r="M9" s="5"/>
      <c r="N9" s="5"/>
    </row>
    <row r="10" spans="1:21" s="44" customFormat="1" ht="36" customHeight="1" x14ac:dyDescent="0.2">
      <c r="A10" s="47"/>
      <c r="B10" s="84" t="s">
        <v>159</v>
      </c>
      <c r="C10" s="248" t="s">
        <v>162</v>
      </c>
      <c r="D10" s="249"/>
      <c r="E10" s="249"/>
      <c r="F10" s="273"/>
      <c r="G10" s="170">
        <v>0.9</v>
      </c>
      <c r="H10" s="168"/>
      <c r="I10" s="251" t="s">
        <v>264</v>
      </c>
      <c r="J10" s="252"/>
      <c r="K10" s="253"/>
      <c r="L10" s="5"/>
      <c r="M10" s="5"/>
      <c r="N10" s="5"/>
    </row>
    <row r="11" spans="1:21" s="44" customFormat="1" ht="30" customHeight="1" x14ac:dyDescent="0.2">
      <c r="A11" s="46"/>
      <c r="B11" s="84" t="s">
        <v>160</v>
      </c>
      <c r="C11" s="248" t="s">
        <v>161</v>
      </c>
      <c r="D11" s="249"/>
      <c r="E11" s="249"/>
      <c r="F11" s="273"/>
      <c r="G11" s="170">
        <v>0.9</v>
      </c>
      <c r="H11" s="169"/>
      <c r="I11" s="251" t="s">
        <v>264</v>
      </c>
      <c r="J11" s="252"/>
      <c r="K11" s="253"/>
      <c r="L11" s="5"/>
      <c r="M11" s="5"/>
      <c r="N11" s="5"/>
    </row>
    <row r="12" spans="1:21" ht="15" thickBot="1" x14ac:dyDescent="0.25"/>
    <row r="13" spans="1:21" x14ac:dyDescent="0.2">
      <c r="B13" s="48" t="s">
        <v>253</v>
      </c>
      <c r="C13" s="49"/>
      <c r="D13" s="49"/>
      <c r="E13" s="49"/>
      <c r="F13" s="49"/>
      <c r="G13" s="50"/>
      <c r="H13" s="49"/>
      <c r="I13" s="49"/>
      <c r="J13" s="49"/>
      <c r="K13" s="49"/>
      <c r="L13" s="49"/>
      <c r="M13" s="49"/>
      <c r="N13" s="49"/>
      <c r="O13" s="49"/>
      <c r="P13" s="49"/>
      <c r="Q13" s="49"/>
      <c r="R13" s="49"/>
      <c r="S13" s="49"/>
      <c r="T13" s="49"/>
      <c r="U13" s="51"/>
    </row>
    <row r="14" spans="1:21" ht="30" customHeight="1" x14ac:dyDescent="0.2">
      <c r="B14" s="258" t="s">
        <v>322</v>
      </c>
      <c r="C14" s="259"/>
      <c r="D14" s="259"/>
      <c r="E14" s="259"/>
      <c r="F14" s="259"/>
      <c r="G14" s="259"/>
      <c r="H14" s="259"/>
      <c r="I14" s="259"/>
      <c r="J14" s="259"/>
      <c r="K14" s="259"/>
      <c r="L14" s="259"/>
      <c r="M14" s="259"/>
      <c r="N14" s="259"/>
      <c r="O14" s="259"/>
      <c r="P14" s="259"/>
      <c r="Q14" s="259"/>
      <c r="R14" s="259"/>
      <c r="S14" s="259"/>
      <c r="T14" s="259"/>
      <c r="U14" s="260"/>
    </row>
    <row r="15" spans="1:21" x14ac:dyDescent="0.2">
      <c r="B15" s="52"/>
      <c r="C15" s="53"/>
      <c r="D15" s="53"/>
      <c r="E15" s="53"/>
      <c r="F15" s="53"/>
      <c r="G15" s="54"/>
      <c r="H15" s="53"/>
      <c r="I15" s="53"/>
      <c r="J15" s="53"/>
      <c r="K15" s="53"/>
      <c r="L15" s="53"/>
      <c r="M15" s="53"/>
      <c r="N15" s="53"/>
      <c r="O15" s="53"/>
      <c r="P15" s="53"/>
      <c r="Q15" s="53"/>
      <c r="R15" s="53"/>
      <c r="S15" s="53"/>
      <c r="T15" s="53"/>
      <c r="U15" s="55"/>
    </row>
    <row r="16" spans="1:21" x14ac:dyDescent="0.2">
      <c r="B16" s="256" t="s">
        <v>252</v>
      </c>
      <c r="C16" s="257"/>
      <c r="D16" s="257"/>
      <c r="E16" s="257"/>
      <c r="F16" s="257"/>
      <c r="G16" s="257"/>
      <c r="H16" s="257"/>
      <c r="I16" s="257"/>
      <c r="J16" s="257"/>
      <c r="K16" s="257"/>
      <c r="L16" s="257"/>
      <c r="M16" s="257"/>
      <c r="N16" s="257"/>
      <c r="O16" s="257"/>
      <c r="P16" s="257"/>
      <c r="Q16" s="257"/>
      <c r="R16" s="257"/>
      <c r="S16" s="257"/>
      <c r="T16" s="257"/>
      <c r="U16" s="261"/>
    </row>
    <row r="17" spans="2:21" x14ac:dyDescent="0.2">
      <c r="B17" s="254" t="s">
        <v>250</v>
      </c>
      <c r="C17" s="255"/>
      <c r="D17" s="171">
        <v>2008</v>
      </c>
      <c r="E17" s="171">
        <v>2009</v>
      </c>
      <c r="F17" s="171">
        <v>2010</v>
      </c>
      <c r="G17" s="171">
        <v>2011</v>
      </c>
      <c r="H17" s="171">
        <v>2012</v>
      </c>
      <c r="I17" s="171">
        <v>2013</v>
      </c>
      <c r="J17" s="171">
        <v>2014</v>
      </c>
      <c r="K17" s="171">
        <v>2015</v>
      </c>
      <c r="L17" s="171">
        <v>2016</v>
      </c>
      <c r="M17" s="171">
        <v>2017</v>
      </c>
      <c r="N17" s="171">
        <v>2018</v>
      </c>
      <c r="O17" s="171">
        <v>2019</v>
      </c>
      <c r="P17" s="171">
        <v>2020</v>
      </c>
      <c r="Q17" s="171">
        <v>2021</v>
      </c>
      <c r="R17" s="171">
        <v>2022</v>
      </c>
      <c r="S17" s="171">
        <v>2023</v>
      </c>
      <c r="T17" s="171">
        <v>2024</v>
      </c>
      <c r="U17" s="172" t="s">
        <v>254</v>
      </c>
    </row>
    <row r="18" spans="2:21" x14ac:dyDescent="0.2">
      <c r="B18" s="254" t="s">
        <v>251</v>
      </c>
      <c r="C18" s="255"/>
      <c r="D18" s="59">
        <v>0.86</v>
      </c>
      <c r="E18" s="59">
        <v>0.86</v>
      </c>
      <c r="F18" s="59">
        <v>0.86</v>
      </c>
      <c r="G18" s="59">
        <v>0.89</v>
      </c>
      <c r="H18" s="59">
        <v>0.91</v>
      </c>
      <c r="I18" s="59">
        <v>0.9</v>
      </c>
      <c r="J18" s="59">
        <v>0.9</v>
      </c>
      <c r="K18" s="59">
        <v>0.88</v>
      </c>
      <c r="L18" s="59">
        <v>0.86</v>
      </c>
      <c r="M18" s="59">
        <v>0.86</v>
      </c>
      <c r="N18" s="59">
        <v>0.85</v>
      </c>
      <c r="O18" s="59">
        <v>0.85</v>
      </c>
      <c r="P18" s="59">
        <v>0.6</v>
      </c>
      <c r="Q18" s="59">
        <v>0.77</v>
      </c>
      <c r="R18" s="59">
        <v>0.8</v>
      </c>
      <c r="S18" s="59">
        <v>0.8</v>
      </c>
      <c r="T18" s="59">
        <v>0.8</v>
      </c>
      <c r="U18" s="173">
        <v>0.8</v>
      </c>
    </row>
    <row r="19" spans="2:21" x14ac:dyDescent="0.2">
      <c r="B19" s="254" t="s">
        <v>320</v>
      </c>
      <c r="C19" s="255"/>
      <c r="D19" s="59">
        <v>0.78</v>
      </c>
      <c r="E19" s="59">
        <v>0.78</v>
      </c>
      <c r="F19" s="59">
        <f>0.78</f>
        <v>0.78</v>
      </c>
      <c r="G19" s="59">
        <v>0.83</v>
      </c>
      <c r="H19" s="59">
        <v>0.87</v>
      </c>
      <c r="I19" s="59">
        <v>0.84</v>
      </c>
      <c r="J19" s="59">
        <v>0.85</v>
      </c>
      <c r="K19" s="59">
        <v>0.84</v>
      </c>
      <c r="L19" s="59">
        <v>0.83</v>
      </c>
      <c r="M19" s="59">
        <v>0.82</v>
      </c>
      <c r="N19" s="59">
        <v>0.82</v>
      </c>
      <c r="O19" s="59">
        <v>0.82</v>
      </c>
      <c r="P19" s="59">
        <v>0.59</v>
      </c>
      <c r="Q19" s="59">
        <v>0.59</v>
      </c>
      <c r="R19" s="59">
        <v>0.5</v>
      </c>
      <c r="S19" s="59">
        <v>0</v>
      </c>
      <c r="T19" s="59">
        <v>0</v>
      </c>
      <c r="U19" s="173">
        <v>0</v>
      </c>
    </row>
    <row r="20" spans="2:21" x14ac:dyDescent="0.2">
      <c r="B20" s="254" t="s">
        <v>321</v>
      </c>
      <c r="C20" s="255"/>
      <c r="D20" s="59">
        <v>0.78</v>
      </c>
      <c r="E20" s="59">
        <v>0.78</v>
      </c>
      <c r="F20" s="59">
        <v>0.78</v>
      </c>
      <c r="G20" s="59">
        <v>0.83</v>
      </c>
      <c r="H20" s="59">
        <v>0.87</v>
      </c>
      <c r="I20" s="59">
        <v>0.84</v>
      </c>
      <c r="J20" s="59">
        <v>0</v>
      </c>
      <c r="K20" s="59">
        <v>0</v>
      </c>
      <c r="L20" s="59">
        <v>0</v>
      </c>
      <c r="M20" s="59">
        <v>0</v>
      </c>
      <c r="N20" s="59">
        <v>0</v>
      </c>
      <c r="O20" s="59">
        <v>0</v>
      </c>
      <c r="P20" s="59">
        <v>0</v>
      </c>
      <c r="Q20" s="59">
        <v>0</v>
      </c>
      <c r="R20" s="59">
        <v>0</v>
      </c>
      <c r="S20" s="59">
        <v>0</v>
      </c>
      <c r="T20" s="59">
        <v>0</v>
      </c>
      <c r="U20" s="173">
        <v>0</v>
      </c>
    </row>
    <row r="21" spans="2:21" ht="16" x14ac:dyDescent="0.2">
      <c r="B21" s="56"/>
      <c r="C21" s="53"/>
      <c r="D21" s="53"/>
      <c r="E21" s="53"/>
      <c r="F21" s="53"/>
      <c r="G21" s="54"/>
      <c r="H21" s="53"/>
      <c r="I21" s="53"/>
      <c r="J21" s="53"/>
      <c r="K21" s="53"/>
      <c r="L21" s="53"/>
      <c r="M21" s="53"/>
      <c r="N21" s="53"/>
      <c r="O21" s="53"/>
      <c r="P21" s="53"/>
      <c r="Q21" s="53"/>
      <c r="R21" s="53"/>
      <c r="S21" s="53"/>
      <c r="T21" s="53"/>
      <c r="U21" s="55"/>
    </row>
    <row r="22" spans="2:21" x14ac:dyDescent="0.2">
      <c r="B22" s="256" t="s">
        <v>255</v>
      </c>
      <c r="C22" s="257"/>
      <c r="D22" s="257"/>
      <c r="E22" s="257"/>
      <c r="F22" s="257"/>
      <c r="G22" s="257"/>
      <c r="H22" s="257"/>
      <c r="I22" s="257"/>
      <c r="J22" s="257"/>
      <c r="K22" s="174"/>
      <c r="L22" s="174"/>
      <c r="M22" s="174"/>
      <c r="N22" s="174"/>
      <c r="O22" s="174"/>
      <c r="P22" s="174"/>
      <c r="Q22" s="174"/>
      <c r="R22" s="174"/>
      <c r="S22" s="174"/>
      <c r="T22" s="174"/>
      <c r="U22" s="175"/>
    </row>
    <row r="23" spans="2:21" x14ac:dyDescent="0.2">
      <c r="B23" s="254" t="s">
        <v>250</v>
      </c>
      <c r="C23" s="255"/>
      <c r="D23" s="171">
        <v>2019</v>
      </c>
      <c r="E23" s="171">
        <v>2020</v>
      </c>
      <c r="F23" s="171">
        <v>2021</v>
      </c>
      <c r="G23" s="171">
        <v>2022</v>
      </c>
      <c r="H23" s="171">
        <v>2023</v>
      </c>
      <c r="I23" s="171">
        <v>2024</v>
      </c>
      <c r="J23" s="65" t="s">
        <v>254</v>
      </c>
      <c r="K23" s="53"/>
      <c r="L23" s="53"/>
      <c r="M23" s="53"/>
      <c r="N23" s="53"/>
      <c r="O23" s="53"/>
      <c r="P23" s="53"/>
      <c r="Q23" s="53"/>
      <c r="R23" s="53"/>
      <c r="S23" s="53"/>
      <c r="T23" s="53"/>
      <c r="U23" s="55"/>
    </row>
    <row r="24" spans="2:21" x14ac:dyDescent="0.2">
      <c r="B24" s="254" t="s">
        <v>251</v>
      </c>
      <c r="C24" s="255"/>
      <c r="D24" s="59">
        <f>E24</f>
        <v>0.53</v>
      </c>
      <c r="E24" s="59">
        <v>0.53</v>
      </c>
      <c r="F24" s="59">
        <v>0.71</v>
      </c>
      <c r="G24" s="59">
        <v>0.8</v>
      </c>
      <c r="H24" s="59">
        <v>0.8</v>
      </c>
      <c r="I24" s="59">
        <v>0.8</v>
      </c>
      <c r="J24" s="59">
        <v>0.8</v>
      </c>
      <c r="K24" s="53"/>
      <c r="L24" s="53"/>
      <c r="M24" s="53"/>
      <c r="N24" s="174" t="s">
        <v>256</v>
      </c>
      <c r="O24" s="53"/>
      <c r="P24" s="53"/>
      <c r="Q24" s="53"/>
      <c r="R24" s="53"/>
      <c r="S24" s="53"/>
      <c r="T24" s="53"/>
      <c r="U24" s="55"/>
    </row>
    <row r="25" spans="2:21" x14ac:dyDescent="0.2">
      <c r="B25" s="254" t="s">
        <v>320</v>
      </c>
      <c r="C25" s="255"/>
      <c r="D25" s="59">
        <f>E25</f>
        <v>0.35830985915492958</v>
      </c>
      <c r="E25" s="59">
        <f>0.48/0.71*0.53</f>
        <v>0.35830985915492958</v>
      </c>
      <c r="F25" s="59">
        <v>0.48</v>
      </c>
      <c r="G25" s="59">
        <f>F25/F24*G24</f>
        <v>0.54084507042253527</v>
      </c>
      <c r="H25" s="59">
        <v>0</v>
      </c>
      <c r="I25" s="59">
        <v>0</v>
      </c>
      <c r="J25" s="59">
        <v>0</v>
      </c>
      <c r="K25" s="53"/>
      <c r="L25" s="53"/>
      <c r="M25" s="53"/>
      <c r="N25" s="53"/>
      <c r="O25" s="53"/>
      <c r="P25" s="53"/>
      <c r="Q25" s="53"/>
      <c r="R25" s="53"/>
      <c r="S25" s="53"/>
      <c r="T25" s="53"/>
      <c r="U25" s="55"/>
    </row>
    <row r="26" spans="2:21" ht="15" thickBot="1" x14ac:dyDescent="0.25">
      <c r="B26" s="254" t="s">
        <v>321</v>
      </c>
      <c r="C26" s="255"/>
      <c r="D26" s="176">
        <v>0</v>
      </c>
      <c r="E26" s="176">
        <v>0</v>
      </c>
      <c r="F26" s="176">
        <v>0</v>
      </c>
      <c r="G26" s="176">
        <v>0</v>
      </c>
      <c r="H26" s="176">
        <v>0</v>
      </c>
      <c r="I26" s="176">
        <v>0</v>
      </c>
      <c r="J26" s="176">
        <v>0</v>
      </c>
      <c r="K26" s="57"/>
      <c r="L26" s="57"/>
      <c r="M26" s="57"/>
      <c r="N26" s="57"/>
      <c r="O26" s="57"/>
      <c r="P26" s="57"/>
      <c r="Q26" s="57"/>
      <c r="R26" s="57"/>
      <c r="S26" s="57"/>
      <c r="T26" s="57"/>
      <c r="U26" s="58"/>
    </row>
  </sheetData>
  <mergeCells count="32">
    <mergeCell ref="I8:K8"/>
    <mergeCell ref="I2:K3"/>
    <mergeCell ref="C7:F7"/>
    <mergeCell ref="I7:K7"/>
    <mergeCell ref="I4:K4"/>
    <mergeCell ref="C5:F5"/>
    <mergeCell ref="C6:F6"/>
    <mergeCell ref="G2:G3"/>
    <mergeCell ref="H2:H3"/>
    <mergeCell ref="I5:K5"/>
    <mergeCell ref="I6:K6"/>
    <mergeCell ref="B2:B3"/>
    <mergeCell ref="C2:F3"/>
    <mergeCell ref="C4:F4"/>
    <mergeCell ref="B24:C24"/>
    <mergeCell ref="B25:C25"/>
    <mergeCell ref="C11:F11"/>
    <mergeCell ref="C8:F8"/>
    <mergeCell ref="C9:F9"/>
    <mergeCell ref="C10:F10"/>
    <mergeCell ref="I9:K9"/>
    <mergeCell ref="I10:K10"/>
    <mergeCell ref="B26:C26"/>
    <mergeCell ref="B22:J22"/>
    <mergeCell ref="B14:U14"/>
    <mergeCell ref="B17:C17"/>
    <mergeCell ref="B18:C18"/>
    <mergeCell ref="B19:C19"/>
    <mergeCell ref="B20:C20"/>
    <mergeCell ref="B23:C23"/>
    <mergeCell ref="B16:U16"/>
    <mergeCell ref="I11:K11"/>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F23"/>
  <sheetViews>
    <sheetView tabSelected="1" topLeftCell="B1" zoomScale="92" zoomScaleNormal="100" workbookViewId="0">
      <selection activeCell="N29" sqref="N29"/>
    </sheetView>
  </sheetViews>
  <sheetFormatPr baseColWidth="10" defaultRowHeight="16" x14ac:dyDescent="0.2"/>
  <cols>
    <col min="2" max="2" width="17.5" bestFit="1" customWidth="1"/>
    <col min="3" max="3" width="38.1640625" bestFit="1" customWidth="1"/>
    <col min="4" max="4" width="12.1640625" bestFit="1" customWidth="1"/>
    <col min="5" max="5" width="15.33203125" bestFit="1" customWidth="1"/>
    <col min="6" max="6" width="38.5" bestFit="1" customWidth="1"/>
  </cols>
  <sheetData>
    <row r="1" spans="2:6" ht="17" thickBot="1" x14ac:dyDescent="0.25"/>
    <row r="2" spans="2:6" ht="17" thickBot="1" x14ac:dyDescent="0.25">
      <c r="B2" s="60" t="s">
        <v>247</v>
      </c>
      <c r="C2" s="61" t="s">
        <v>244</v>
      </c>
      <c r="D2" s="61" t="s">
        <v>245</v>
      </c>
      <c r="E2" s="61" t="s">
        <v>246</v>
      </c>
      <c r="F2" s="62" t="s">
        <v>10</v>
      </c>
    </row>
    <row r="3" spans="2:6" x14ac:dyDescent="0.2">
      <c r="B3" s="194" t="s">
        <v>243</v>
      </c>
      <c r="C3" s="195"/>
      <c r="D3" s="195"/>
      <c r="E3" s="195"/>
      <c r="F3" s="196"/>
    </row>
    <row r="4" spans="2:6" s="63" customFormat="1" x14ac:dyDescent="0.2">
      <c r="B4" s="183" t="s">
        <v>141</v>
      </c>
      <c r="C4" s="63" t="s">
        <v>248</v>
      </c>
      <c r="D4" s="63">
        <v>0.8</v>
      </c>
      <c r="E4" s="184">
        <v>0.65</v>
      </c>
      <c r="F4" s="185"/>
    </row>
    <row r="5" spans="2:6" x14ac:dyDescent="0.2">
      <c r="B5" s="194" t="s">
        <v>257</v>
      </c>
      <c r="C5" s="195"/>
      <c r="D5" s="195"/>
      <c r="E5" s="195"/>
      <c r="F5" s="196"/>
    </row>
    <row r="6" spans="2:6" x14ac:dyDescent="0.2">
      <c r="B6" s="183" t="s">
        <v>164</v>
      </c>
      <c r="C6" s="63" t="s">
        <v>258</v>
      </c>
      <c r="D6" s="63">
        <v>0.8</v>
      </c>
      <c r="E6" s="184" t="s">
        <v>259</v>
      </c>
      <c r="F6" s="185" t="s">
        <v>269</v>
      </c>
    </row>
    <row r="7" spans="2:6" x14ac:dyDescent="0.2">
      <c r="B7" s="194" t="s">
        <v>270</v>
      </c>
      <c r="C7" s="195"/>
      <c r="D7" s="195"/>
      <c r="E7" s="195"/>
      <c r="F7" s="196"/>
    </row>
    <row r="8" spans="2:6" x14ac:dyDescent="0.2">
      <c r="B8" s="186" t="s">
        <v>164</v>
      </c>
      <c r="C8" s="187" t="s">
        <v>283</v>
      </c>
      <c r="D8" s="184">
        <v>0.68</v>
      </c>
      <c r="E8" s="184" t="s">
        <v>285</v>
      </c>
      <c r="F8" s="197" t="s">
        <v>287</v>
      </c>
    </row>
    <row r="9" spans="2:6" x14ac:dyDescent="0.2">
      <c r="B9" s="186" t="s">
        <v>164</v>
      </c>
      <c r="C9" s="187" t="s">
        <v>284</v>
      </c>
      <c r="D9" s="184">
        <v>0.76</v>
      </c>
      <c r="E9" s="184" t="s">
        <v>286</v>
      </c>
      <c r="F9" s="197"/>
    </row>
    <row r="10" spans="2:6" ht="16" customHeight="1" x14ac:dyDescent="0.2">
      <c r="B10" s="183" t="s">
        <v>164</v>
      </c>
      <c r="C10" s="187" t="s">
        <v>154</v>
      </c>
      <c r="D10" s="63">
        <v>0.8</v>
      </c>
      <c r="E10" s="184" t="s">
        <v>271</v>
      </c>
      <c r="F10" s="197"/>
    </row>
    <row r="11" spans="2:6" x14ac:dyDescent="0.2">
      <c r="B11" s="183" t="s">
        <v>164</v>
      </c>
      <c r="C11" s="63" t="s">
        <v>155</v>
      </c>
      <c r="D11" s="63">
        <v>0.8</v>
      </c>
      <c r="E11" s="184" t="s">
        <v>271</v>
      </c>
      <c r="F11" s="197"/>
    </row>
    <row r="12" spans="2:6" x14ac:dyDescent="0.2">
      <c r="B12" s="183" t="s">
        <v>164</v>
      </c>
      <c r="C12" s="63" t="s">
        <v>159</v>
      </c>
      <c r="D12" s="63">
        <v>0.9</v>
      </c>
      <c r="E12" s="184" t="s">
        <v>277</v>
      </c>
      <c r="F12" s="197"/>
    </row>
    <row r="13" spans="2:6" x14ac:dyDescent="0.2">
      <c r="B13" s="183" t="s">
        <v>164</v>
      </c>
      <c r="C13" s="63" t="s">
        <v>160</v>
      </c>
      <c r="D13" s="63">
        <v>0.9</v>
      </c>
      <c r="E13" s="184" t="s">
        <v>272</v>
      </c>
      <c r="F13" s="197"/>
    </row>
    <row r="14" spans="2:6" x14ac:dyDescent="0.2">
      <c r="B14" s="194" t="s">
        <v>296</v>
      </c>
      <c r="C14" s="195"/>
      <c r="D14" s="195"/>
      <c r="E14" s="195"/>
      <c r="F14" s="196"/>
    </row>
    <row r="15" spans="2:6" ht="16" customHeight="1" x14ac:dyDescent="0.2">
      <c r="B15" s="183" t="s">
        <v>149</v>
      </c>
      <c r="C15" s="63" t="s">
        <v>273</v>
      </c>
      <c r="D15" s="63">
        <v>0</v>
      </c>
      <c r="E15" s="63">
        <v>0.1</v>
      </c>
      <c r="F15" s="197" t="s">
        <v>276</v>
      </c>
    </row>
    <row r="16" spans="2:6" x14ac:dyDescent="0.2">
      <c r="B16" s="183" t="s">
        <v>149</v>
      </c>
      <c r="C16" s="63" t="s">
        <v>274</v>
      </c>
      <c r="D16" s="63">
        <v>0</v>
      </c>
      <c r="E16" s="63">
        <v>0.1</v>
      </c>
      <c r="F16" s="197"/>
    </row>
    <row r="17" spans="2:6" x14ac:dyDescent="0.2">
      <c r="B17" s="183" t="s">
        <v>149</v>
      </c>
      <c r="C17" s="63" t="s">
        <v>275</v>
      </c>
      <c r="D17" s="63">
        <v>0</v>
      </c>
      <c r="E17" s="63">
        <v>0.1</v>
      </c>
      <c r="F17" s="197"/>
    </row>
    <row r="18" spans="2:6" x14ac:dyDescent="0.2">
      <c r="B18" s="194" t="s">
        <v>315</v>
      </c>
      <c r="C18" s="195"/>
      <c r="D18" s="195"/>
      <c r="E18" s="195"/>
      <c r="F18" s="196"/>
    </row>
    <row r="19" spans="2:6" ht="49" x14ac:dyDescent="0.2">
      <c r="B19" s="183" t="s">
        <v>4</v>
      </c>
      <c r="C19" s="63" t="s">
        <v>96</v>
      </c>
      <c r="D19" s="188" t="s">
        <v>299</v>
      </c>
      <c r="E19" s="188" t="s">
        <v>166</v>
      </c>
      <c r="F19" s="189" t="s">
        <v>316</v>
      </c>
    </row>
    <row r="20" spans="2:6" x14ac:dyDescent="0.2">
      <c r="B20" s="194" t="s">
        <v>310</v>
      </c>
      <c r="C20" s="195"/>
      <c r="D20" s="195"/>
      <c r="E20" s="195"/>
      <c r="F20" s="196"/>
    </row>
    <row r="21" spans="2:6" x14ac:dyDescent="0.2">
      <c r="B21" s="183" t="s">
        <v>140</v>
      </c>
      <c r="C21" s="63" t="s">
        <v>317</v>
      </c>
      <c r="D21" s="63">
        <v>0.96</v>
      </c>
      <c r="E21" s="63">
        <v>0.9</v>
      </c>
      <c r="F21" s="192" t="s">
        <v>319</v>
      </c>
    </row>
    <row r="22" spans="2:6" ht="17" thickBot="1" x14ac:dyDescent="0.25">
      <c r="B22" s="190" t="s">
        <v>140</v>
      </c>
      <c r="C22" s="191" t="s">
        <v>311</v>
      </c>
      <c r="D22" s="191">
        <v>0.7</v>
      </c>
      <c r="E22" s="191">
        <v>0.85</v>
      </c>
      <c r="F22" s="193"/>
    </row>
    <row r="23" spans="2:6" x14ac:dyDescent="0.2">
      <c r="B23" s="8"/>
      <c r="C23" s="8"/>
      <c r="D23" s="8"/>
      <c r="E23" s="8"/>
      <c r="F23" s="8"/>
    </row>
  </sheetData>
  <mergeCells count="9">
    <mergeCell ref="B3:F3"/>
    <mergeCell ref="B7:F7"/>
    <mergeCell ref="B14:F14"/>
    <mergeCell ref="B20:F20"/>
    <mergeCell ref="F21:F22"/>
    <mergeCell ref="B18:F18"/>
    <mergeCell ref="F15:F17"/>
    <mergeCell ref="F8:F13"/>
    <mergeCell ref="B5:F5"/>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2026-07-08T10:30:37Z</dcterms:modified>
</cp:coreProperties>
</file>