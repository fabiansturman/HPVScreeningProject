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2C33E43B-BB4E-E745-9304-EAD4D6D39805}" xr6:coauthVersionLast="47" xr6:coauthVersionMax="47" xr10:uidLastSave="{00000000-0000-0000-0000-000000000000}"/>
  <bookViews>
    <workbookView xWindow="0" yWindow="760" windowWidth="29400" windowHeight="1718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G25" i="11"/>
  <c r="H21" i="11"/>
  <c r="H19" i="11"/>
  <c r="H15" i="11"/>
  <c r="H8" i="11"/>
  <c r="H6" i="11"/>
  <c r="H4" i="11"/>
  <c r="G25" i="5"/>
  <c r="D24" i="5"/>
  <c r="E25" i="5"/>
  <c r="D25" i="5" s="1"/>
  <c r="Q19" i="5"/>
  <c r="P19" i="5"/>
  <c r="O19" i="5"/>
  <c r="N19" i="5"/>
  <c r="M19" i="5"/>
  <c r="L19" i="5"/>
  <c r="K19" i="5"/>
  <c r="J19" i="5"/>
  <c r="I19" i="5"/>
  <c r="H19" i="5"/>
  <c r="R19" i="5"/>
  <c r="G19" i="5"/>
  <c r="F19" i="5"/>
  <c r="E19" i="5"/>
  <c r="D19" i="5"/>
</calcChain>
</file>

<file path=xl/sharedStrings.xml><?xml version="1.0" encoding="utf-8"?>
<sst xmlns="http://schemas.openxmlformats.org/spreadsheetml/2006/main" count="955" uniqueCount="329">
  <si>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</si>
  <si>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</si>
  <si>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</si>
  <si>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</si>
  <si>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</si>
  <si>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</si>
  <si>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</si>
  <si>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</si>
  <si>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</si>
  <si>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</si>
  <si>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</si>
  <si>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</si>
  <si>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</si>
  <si>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</si>
  <si>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</si>
  <si>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</si>
  <si>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</si>
  <si>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</si>
  <si>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</si>
  <si>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</si>
  <si>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</si>
  <si>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</si>
  <si>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</si>
  <si>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</si>
  <si>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</si>
  <si>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</si>
  <si>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</si>
  <si>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</si>
  <si>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</si>
  <si>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</si>
  <si>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</si>
  <si>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</si>
  <si>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</si>
  <si>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</si>
  <si>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</si>
  <si>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</si>
  <si>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</si>
  <si>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</si>
  <si>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</si>
  <si>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</si>
  <si>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</si>
  <si>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</si>
  <si>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</si>
  <si>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</si>
  <si>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</si>
  <si>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</si>
  <si>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</si>
  <si>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</si>
  <si>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</si>
  <si>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</si>
  <si>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</si>
  <si>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</si>
  <si>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</si>
  <si>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</si>
  <si>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</si>
  <si>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</si>
  <si>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</si>
  <si>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</si>
  <si>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</si>
  <si>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</si>
  <si>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</si>
  <si>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</si>
  <si>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</si>
  <si>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</si>
  <si>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</si>
  <si>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</si>
  <si>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</si>
  <si>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</si>
  <si>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</si>
  <si>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</si>
  <si>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</si>
  <si>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</si>
  <si>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</si>
  <si>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</si>
  <si>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</si>
  <si>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</si>
  <si>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</si>
  <si>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</si>
  <si>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</si>
  <si>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</si>
  <si>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</si>
  <si>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</si>
  <si>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</si>
  <si>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</si>
  <si>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</si>
  <si>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</si>
  <si>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</si>
  <si>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</si>
  <si>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</si>
  <si>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</si>
  <si>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</si>
  <si>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</si>
  <si>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</si>
  <si>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</si>
  <si>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</si>
  <si>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</si>
  <si>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</si>
  <si>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</si>
  <si>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</si>
  <si>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</si>
  <si>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</si>
  <si>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</si>
  <si>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</si>
  <si>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</si>
  <si>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</si>
  <si>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</si>
  <si>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</si>
  <si>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</si>
  <si>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</si>
  <si>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</si>
  <si>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</si>
  <si>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</si>
  <si>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</si>
  <si>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</si>
  <si>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</si>
  <si>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</si>
  <si>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</si>
  <si>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</si>
  <si>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</si>
  <si>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</si>
  <si>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</si>
  <si>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</si>
  <si>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</si>
  <si>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</si>
  <si>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</si>
  <si>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</si>
  <si>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</si>
  <si>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</si>
  <si>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</si>
  <si>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</si>
  <si>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</si>
  <si>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</si>
  <si>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</si>
  <si>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</si>
  <si>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</si>
  <si>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</si>
  <si>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</si>
  <si>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</si>
  <si>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</si>
  <si>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</si>
  <si>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</si>
  <si>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</si>
  <si>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</si>
  <si>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</si>
  <si>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</si>
  <si>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</si>
  <si>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</si>
  <si>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</si>
  <si>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</si>
  <si>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</si>
  <si>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</si>
  <si>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</si>
  <si>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</si>
  <si>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</si>
  <si>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</si>
  <si>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</si>
  <si>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</si>
  <si>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</si>
  <si>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</si>
  <si>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</si>
  <si>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</si>
  <si>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</si>
  <si>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</si>
  <si>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</si>
  <si>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</si>
  <si>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</si>
  <si>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</si>
  <si>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</si>
  <si>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</si>
  <si>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</si>
  <si>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</si>
  <si>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</si>
  <si>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</si>
  <si>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</si>
  <si>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</si>
  <si>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</si>
  <si>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</si>
  <si>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</si>
  <si>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</si>
  <si>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</si>
  <si>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</si>
  <si>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</si>
  <si>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</si>
  <si>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</si>
  <si>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</si>
  <si>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</si>
  <si>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</si>
  <si>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</si>
  <si>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</si>
  <si>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</si>
  <si>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</si>
  <si>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</si>
  <si>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</si>
  <si>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</si>
  <si>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</si>
  <si>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</si>
  <si>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</si>
  <si>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</si>
  <si>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</si>
  <si>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</si>
  <si>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</si>
  <si>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</si>
  <si>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</si>
  <si>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</si>
  <si>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</si>
  <si>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</si>
  <si>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</si>
  <si>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</si>
  <si>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</si>
  <si>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</si>
  <si>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</si>
  <si>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</si>
  <si>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</si>
  <si>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</si>
  <si>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</si>
  <si>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</si>
  <si>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</si>
  <si>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</si>
  <si>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</si>
  <si>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</si>
  <si>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</si>
  <si>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</si>
  <si>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</si>
  <si>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</si>
  <si>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</si>
  <si>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</si>
  <si>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</si>
  <si>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</si>
  <si>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</si>
  <si>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</si>
  <si>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</si>
  <si>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</si>
  <si>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</si>
  <si>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</si>
  <si>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</si>
  <si>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</si>
  <si>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</si>
  <si>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</si>
  <si>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</si>
  <si>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</si>
  <si>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</si>
  <si>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</si>
  <si>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</si>
  <si>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</si>
  <si>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</si>
  <si>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</si>
  <si>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</si>
  <si>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</si>
  <si>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</si>
  <si>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</si>
  <si>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</si>
  <si>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</si>
  <si>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</si>
  <si>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</si>
  <si>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</si>
  <si>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</si>
  <si>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</si>
  <si>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</si>
  <si>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</si>
  <si>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</si>
  <si>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</si>
  <si>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</si>
  <si>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</si>
  <si>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</si>
  <si>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</si>
  <si>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</si>
  <si>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</si>
  <si>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</si>
  <si>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</si>
  <si>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</si>
  <si>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</si>
  <si>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</si>
  <si>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</si>
  <si>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</si>
  <si>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</si>
  <si>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</si>
  <si>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</si>
  <si>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</si>
  <si>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</si>
  <si>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</si>
  <si>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</si>
  <si>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</si>
  <si>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</si>
  <si>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</si>
  <si>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</si>
  <si>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</si>
  <si>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</si>
  <si>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</si>
  <si>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</si>
  <si>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</si>
  <si>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</si>
  <si>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</si>
  <si>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</si>
  <si>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</si>
  <si>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</si>
  <si>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</si>
  <si>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</si>
  <si>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</si>
  <si>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</si>
  <si>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</si>
  <si>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</si>
  <si>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</si>
  <si>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</si>
  <si>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</si>
  <si>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</si>
  <si>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</si>
  <si>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</si>
  <si>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</si>
  <si>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</si>
  <si>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</si>
  <si>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</si>
  <si>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</si>
  <si>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</si>
  <si>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</si>
  <si>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</si>
  <si>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</si>
  <si>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</si>
  <si>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</si>
  <si>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</si>
  <si>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</si>
  <si>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</si>
  <si>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</si>
  <si>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</si>
  <si>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</si>
  <si>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</si>
  <si>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</si>
  <si>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</si>
  <si>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</si>
  <si>
    <t>These parameters are to be varied together to form two cases, as they are two different ways cytology have been modelled in literature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</si>
</sst>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
      <left style="thick">
        <color auto="1"/>
      </left>
      <right/>
      <top/>
      <bottom/>
      <diagonal/>
    </border>
  </borders>
  <cellStyleXfs count="2">
    <xf numFmtId="0" fontId="0" fillId="0" borderId="0"/>
    <xf numFmtId="43" fontId="2" fillId="0" borderId="0" applyFont="0" applyFill="0" applyBorder="0" applyAlignment="0" applyProtection="0"/>
  </cellStyleXfs>
  <cellXfs count="316">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10" fillId="0" borderId="0" xfId="0" applyFont="1" applyAlignment="1">
      <alignment horizontal="center"/>
    </xf>
    <xf numFmtId="0" fontId="1" fillId="0" borderId="50" xfId="0" applyFont="1" applyBorder="1"/>
    <xf numFmtId="0" fontId="1" fillId="0" borderId="52" xfId="0" applyFont="1" applyBorder="1"/>
    <xf numFmtId="0" fontId="1" fillId="0" borderId="63" xfId="0" applyFont="1" applyBorder="1"/>
    <xf numFmtId="0" fontId="1" fillId="0" borderId="48" xfId="0" applyFont="1" applyBorder="1"/>
    <xf numFmtId="0" fontId="1" fillId="0" borderId="54" xfId="0" applyFont="1" applyBorder="1"/>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0" borderId="0" xfId="0" applyFont="1" applyAlignment="1">
      <alignment horizontal="center" wrapText="1"/>
    </xf>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0" xfId="0" applyFont="1" applyAlignment="1">
      <alignment wrapText="1"/>
    </xf>
    <xf numFmtId="0" fontId="1" fillId="0" borderId="50" xfId="0" applyFont="1" applyBorder="1" applyAlignment="1">
      <alignment horizontal="center"/>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9" fillId="0" borderId="0" xfId="0" applyFont="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5" fillId="0" borderId="50" xfId="0" applyFont="1" applyBorder="1" applyAlignment="1">
      <alignment horizontal="right"/>
    </xf>
    <xf numFmtId="0" fontId="5" fillId="0" borderId="71" xfId="0" applyFont="1" applyBorder="1" applyAlignment="1">
      <alignment horizontal="right" wrapText="1"/>
    </xf>
    <xf numFmtId="0" fontId="5" fillId="6" borderId="51" xfId="0" applyFont="1" applyFill="1" applyBorder="1"/>
    <xf numFmtId="0" fontId="5" fillId="6" borderId="0" xfId="0" applyFont="1" applyFill="1"/>
    <xf numFmtId="0" fontId="5" fillId="6" borderId="0" xfId="0" applyFont="1" applyFill="1" applyAlignment="1">
      <alignment horizontal="right"/>
    </xf>
    <xf numFmtId="0" fontId="5" fillId="6" borderId="66" xfId="0" applyFont="1" applyFill="1" applyBorder="1"/>
    <xf numFmtId="0" fontId="5" fillId="6" borderId="50" xfId="0" applyFont="1" applyFill="1" applyBorder="1" applyAlignment="1">
      <alignment horizontal="right"/>
    </xf>
    <xf numFmtId="0" fontId="0" fillId="6" borderId="0" xfId="0" applyFill="1"/>
    <xf numFmtId="0" fontId="0" fillId="2" borderId="0" xfId="0" applyFill="1"/>
    <xf numFmtId="0" fontId="5" fillId="2" borderId="51" xfId="0" applyFont="1" applyFill="1" applyBorder="1"/>
    <xf numFmtId="0" fontId="11" fillId="6" borderId="0" xfId="0" applyFont="1" applyFill="1"/>
    <xf numFmtId="0" fontId="11" fillId="6" borderId="66" xfId="0" applyFont="1" applyFill="1" applyBorder="1" applyAlignment="1">
      <alignment wrapText="1"/>
    </xf>
    <xf numFmtId="0" fontId="5" fillId="6" borderId="71" xfId="0" applyFont="1" applyFill="1" applyBorder="1" applyAlignment="1">
      <alignment horizontal="right" wrapText="1"/>
    </xf>
    <xf numFmtId="0" fontId="5" fillId="0" borderId="51" xfId="0" applyFont="1" applyBorder="1"/>
    <xf numFmtId="0" fontId="5" fillId="0" borderId="0" xfId="0" applyFont="1" applyAlignment="1">
      <alignment horizontal="right"/>
    </xf>
    <xf numFmtId="0" fontId="5" fillId="0" borderId="66" xfId="0" applyFont="1" applyBorder="1"/>
    <xf numFmtId="0" fontId="10" fillId="0" borderId="51" xfId="0" applyFont="1" applyBorder="1" applyAlignment="1">
      <alignment horizontal="center"/>
    </xf>
    <xf numFmtId="0" fontId="10" fillId="0" borderId="0" xfId="0" applyFont="1" applyAlignment="1">
      <alignment horizontal="center"/>
    </xf>
    <xf numFmtId="0" fontId="10" fillId="0" borderId="66" xfId="0" applyFont="1" applyBorder="1" applyAlignment="1">
      <alignment horizontal="center"/>
    </xf>
    <xf numFmtId="0" fontId="5" fillId="6" borderId="71" xfId="0" applyFont="1" applyFill="1" applyBorder="1" applyAlignment="1">
      <alignment horizontal="center" wrapText="1"/>
    </xf>
    <xf numFmtId="0" fontId="0" fillId="0" borderId="0" xfId="0" applyAlignment="1">
      <alignment horizontal="center" wrapText="1"/>
    </xf>
    <xf numFmtId="0" fontId="5" fillId="2" borderId="71" xfId="0" applyFont="1" applyFill="1" applyBorder="1" applyAlignment="1">
      <alignment horizontal="center" wrapText="1"/>
    </xf>
    <xf numFmtId="0" fontId="5" fillId="2" borderId="50" xfId="0" applyFont="1" applyFill="1" applyBorder="1" applyAlignment="1">
      <alignment horizontal="center"/>
    </xf>
    <xf numFmtId="0" fontId="5" fillId="2" borderId="66" xfId="0" applyFont="1" applyFill="1" applyBorder="1" applyAlignment="1">
      <alignment horizontal="center" wrapText="1"/>
    </xf>
    <xf numFmtId="0" fontId="5" fillId="6" borderId="66" xfId="0" applyFont="1" applyFill="1" applyBorder="1" applyAlignment="1">
      <alignment horizontal="center" wrapText="1"/>
    </xf>
    <xf numFmtId="0" fontId="5" fillId="6" borderId="50" xfId="0" applyFont="1" applyFill="1" applyBorder="1" applyAlignment="1">
      <alignment horizontal="center"/>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0" fillId="2" borderId="57" xfId="0" applyFill="1" applyBorder="1" applyAlignment="1">
      <alignment horizontal="center"/>
    </xf>
    <xf numFmtId="0" fontId="0" fillId="2" borderId="55" xfId="0" applyFill="1" applyBorder="1" applyAlignment="1">
      <alignment horizontal="center"/>
    </xf>
    <xf numFmtId="0" fontId="0" fillId="2" borderId="6"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8" xfId="0" applyFill="1" applyBorder="1" applyAlignment="1">
      <alignment horizontal="center"/>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12" xfId="0" applyFont="1" applyFill="1" applyBorder="1" applyAlignment="1">
      <alignment horizontal="center" wrapText="1"/>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70"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10"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2" borderId="3" xfId="0" applyFont="1" applyFill="1" applyBorder="1" applyAlignment="1">
      <alignment horizontal="center" wrapText="1"/>
    </xf>
    <xf numFmtId="0" fontId="9" fillId="7" borderId="65" xfId="0" applyFont="1" applyFill="1" applyBorder="1" applyAlignment="1">
      <alignment horizontal="right"/>
    </xf>
    <xf numFmtId="0" fontId="9" fillId="7" borderId="13" xfId="0" applyFont="1" applyFill="1" applyBorder="1" applyAlignment="1">
      <alignment horizontal="right"/>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50" xfId="0" applyFont="1" applyFill="1" applyBorder="1" applyAlignment="1">
      <alignment horizontal="center"/>
    </xf>
    <xf numFmtId="0" fontId="11" fillId="6" borderId="66" xfId="0" applyFont="1" applyFill="1" applyBorder="1" applyAlignment="1">
      <alignment horizontal="center" wrapText="1"/>
    </xf>
    <xf numFmtId="0" fontId="5" fillId="6" borderId="52" xfId="0" applyFont="1" applyFill="1" applyBorder="1"/>
    <xf numFmtId="0" fontId="5" fillId="6" borderId="53" xfId="0" applyFont="1" applyFill="1" applyBorder="1"/>
    <xf numFmtId="0" fontId="11" fillId="6" borderId="15" xfId="0" applyFont="1" applyFill="1" applyBorder="1" applyAlignment="1">
      <alignment horizontal="center" wrapText="1"/>
    </xf>
    <xf numFmtId="0" fontId="5" fillId="6" borderId="58" xfId="0" applyFont="1" applyFill="1" applyBorder="1" applyAlignment="1">
      <alignment horizontal="center" wrapText="1"/>
    </xf>
    <xf numFmtId="0" fontId="5" fillId="6" borderId="54" xfId="0" applyFont="1" applyFill="1" applyBorder="1" applyAlignment="1">
      <alignment horizontal="center"/>
    </xf>
    <xf numFmtId="0" fontId="5" fillId="6" borderId="71" xfId="0" applyFont="1" applyFill="1" applyBorder="1" applyAlignment="1">
      <alignment horizontal="right" wrapText="1"/>
    </xf>
    <xf numFmtId="0" fontId="5" fillId="6" borderId="50" xfId="0" applyFont="1" applyFill="1" applyBorder="1" applyAlignment="1">
      <alignment horizontal="right"/>
    </xf>
    <xf numFmtId="0" fontId="5" fillId="2" borderId="51" xfId="0" applyFont="1" applyFill="1" applyBorder="1" applyAlignment="1">
      <alignment horizontal="center"/>
    </xf>
    <xf numFmtId="0" fontId="5" fillId="2" borderId="0" xfId="0" applyFont="1" applyFill="1" applyAlignment="1">
      <alignment horizontal="left"/>
    </xf>
    <xf numFmtId="0" fontId="5" fillId="2" borderId="0" xfId="0" applyFont="1" applyFill="1" applyAlignment="1">
      <alignment horizontal="right"/>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220" t="s">
        <v>1</v>
      </c>
      <c r="C4" s="220"/>
      <c r="D4" s="220"/>
    </row>
    <row r="5" spans="2:4" ht="17" thickBot="1" x14ac:dyDescent="0.25">
      <c r="B5" s="9" t="s">
        <v>2</v>
      </c>
      <c r="C5" s="9" t="s">
        <v>3</v>
      </c>
      <c r="D5" s="9" t="s">
        <v>143</v>
      </c>
    </row>
    <row r="6" spans="2:4" x14ac:dyDescent="0.2">
      <c r="B6" s="13" t="s">
        <v>169</v>
      </c>
      <c r="C6" s="13" t="s">
        <v>170</v>
      </c>
      <c r="D6" s="13" t="s">
        <v>171</v>
      </c>
    </row>
    <row r="7" spans="2:4" ht="43" customHeight="1" x14ac:dyDescent="0.2">
      <c r="B7" s="3" t="s">
        <v>4</v>
      </c>
      <c r="C7" s="12" t="s">
        <v>6</v>
      </c>
      <c r="D7" s="3"/>
    </row>
    <row r="8" spans="2:4" ht="98" customHeight="1" x14ac:dyDescent="0.2">
      <c r="B8" s="1" t="s">
        <v>140</v>
      </c>
      <c r="C8" s="2" t="s">
        <v>142</v>
      </c>
      <c r="D8" s="2" t="s">
        <v>285</v>
      </c>
    </row>
    <row r="9" spans="2:4" ht="34" x14ac:dyDescent="0.2">
      <c r="B9" s="1" t="s">
        <v>149</v>
      </c>
      <c r="C9" s="2" t="s">
        <v>150</v>
      </c>
      <c r="D9" s="2" t="s">
        <v>286</v>
      </c>
    </row>
    <row r="10" spans="2:4" ht="68" x14ac:dyDescent="0.2">
      <c r="B10" s="7" t="s">
        <v>141</v>
      </c>
      <c r="C10" s="3" t="s">
        <v>163</v>
      </c>
      <c r="D10" s="12" t="s">
        <v>289</v>
      </c>
    </row>
    <row r="11" spans="2:4" ht="34" x14ac:dyDescent="0.2">
      <c r="B11" s="1" t="s">
        <v>164</v>
      </c>
      <c r="C11" s="3" t="s">
        <v>5</v>
      </c>
      <c r="D11" s="12" t="s">
        <v>288</v>
      </c>
    </row>
    <row r="13" spans="2:4" ht="16" customHeight="1" x14ac:dyDescent="0.2">
      <c r="B13" s="221" t="s">
        <v>89</v>
      </c>
      <c r="C13" s="221"/>
      <c r="D13" s="221"/>
    </row>
    <row r="14" spans="2:4" x14ac:dyDescent="0.2">
      <c r="B14" s="221"/>
      <c r="C14" s="221"/>
      <c r="D14" s="221"/>
    </row>
    <row r="15" spans="2:4" x14ac:dyDescent="0.2">
      <c r="B15" s="221"/>
      <c r="C15" s="221"/>
      <c r="D15" s="221"/>
    </row>
    <row r="16" spans="2:4" x14ac:dyDescent="0.2">
      <c r="B16" s="221"/>
      <c r="C16" s="221"/>
      <c r="D16" s="221"/>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5"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224" t="s">
        <v>229</v>
      </c>
      <c r="C3" s="224"/>
      <c r="D3" s="224"/>
      <c r="E3" s="224"/>
      <c r="F3" s="224"/>
    </row>
    <row r="5" spans="2:6" ht="35" thickBot="1" x14ac:dyDescent="0.25">
      <c r="B5" s="19" t="s">
        <v>172</v>
      </c>
      <c r="C5" s="26" t="s">
        <v>176</v>
      </c>
      <c r="D5" s="20" t="s">
        <v>182</v>
      </c>
      <c r="E5" s="19" t="s">
        <v>191</v>
      </c>
      <c r="F5" s="19" t="s">
        <v>220</v>
      </c>
    </row>
    <row r="6" spans="2:6" ht="17" x14ac:dyDescent="0.2">
      <c r="B6" s="226" t="s">
        <v>177</v>
      </c>
      <c r="C6" s="27" t="s">
        <v>178</v>
      </c>
      <c r="D6" s="21" t="s">
        <v>183</v>
      </c>
      <c r="E6" s="14" t="s">
        <v>192</v>
      </c>
      <c r="F6" s="14"/>
    </row>
    <row r="7" spans="2:6" ht="34" x14ac:dyDescent="0.2">
      <c r="B7" s="227"/>
      <c r="C7" s="28" t="s">
        <v>179</v>
      </c>
      <c r="D7" s="22" t="s">
        <v>185</v>
      </c>
      <c r="E7" s="15" t="s">
        <v>193</v>
      </c>
      <c r="F7" s="15"/>
    </row>
    <row r="8" spans="2:6" ht="34" x14ac:dyDescent="0.2">
      <c r="B8" s="227"/>
      <c r="C8" s="28" t="s">
        <v>180</v>
      </c>
      <c r="D8" s="22" t="s">
        <v>184</v>
      </c>
      <c r="E8" s="15" t="s">
        <v>194</v>
      </c>
      <c r="F8" s="15"/>
    </row>
    <row r="9" spans="2:6" ht="51" x14ac:dyDescent="0.2">
      <c r="B9" s="227"/>
      <c r="C9" s="28" t="s">
        <v>181</v>
      </c>
      <c r="D9" s="22" t="s">
        <v>186</v>
      </c>
      <c r="E9" s="15" t="s">
        <v>195</v>
      </c>
      <c r="F9" s="15"/>
    </row>
    <row r="10" spans="2:6" ht="34" x14ac:dyDescent="0.2">
      <c r="B10" s="228" t="s">
        <v>173</v>
      </c>
      <c r="C10" s="29" t="s">
        <v>116</v>
      </c>
      <c r="D10" s="23" t="s">
        <v>207</v>
      </c>
      <c r="E10" s="16" t="s">
        <v>196</v>
      </c>
      <c r="F10" s="16" t="s">
        <v>221</v>
      </c>
    </row>
    <row r="11" spans="2:6" ht="34" x14ac:dyDescent="0.2">
      <c r="B11" s="228"/>
      <c r="C11" s="29" t="s">
        <v>187</v>
      </c>
      <c r="D11" s="23" t="s">
        <v>208</v>
      </c>
      <c r="E11" s="16" t="s">
        <v>198</v>
      </c>
      <c r="F11" s="16" t="s">
        <v>222</v>
      </c>
    </row>
    <row r="12" spans="2:6" ht="34" x14ac:dyDescent="0.2">
      <c r="B12" s="228"/>
      <c r="C12" s="29" t="s">
        <v>188</v>
      </c>
      <c r="D12" s="23" t="s">
        <v>209</v>
      </c>
      <c r="E12" s="16" t="s">
        <v>197</v>
      </c>
      <c r="F12" s="16" t="s">
        <v>223</v>
      </c>
    </row>
    <row r="13" spans="2:6" ht="17" x14ac:dyDescent="0.2">
      <c r="B13" s="229" t="s">
        <v>174</v>
      </c>
      <c r="C13" s="30" t="s">
        <v>132</v>
      </c>
      <c r="D13" s="24" t="s">
        <v>210</v>
      </c>
      <c r="E13" s="17" t="s">
        <v>199</v>
      </c>
      <c r="F13" s="17" t="s">
        <v>224</v>
      </c>
    </row>
    <row r="14" spans="2:6" ht="34" x14ac:dyDescent="0.2">
      <c r="B14" s="229"/>
      <c r="C14" s="30" t="s">
        <v>113</v>
      </c>
      <c r="D14" s="24" t="s">
        <v>211</v>
      </c>
      <c r="E14" s="17" t="s">
        <v>213</v>
      </c>
      <c r="F14" s="17" t="s">
        <v>228</v>
      </c>
    </row>
    <row r="15" spans="2:6" ht="17" x14ac:dyDescent="0.2">
      <c r="B15" s="229"/>
      <c r="C15" s="30" t="s">
        <v>111</v>
      </c>
      <c r="D15" s="24" t="s">
        <v>212</v>
      </c>
      <c r="E15" s="17" t="s">
        <v>200</v>
      </c>
      <c r="F15" s="17" t="s">
        <v>227</v>
      </c>
    </row>
    <row r="16" spans="2:6" ht="17" x14ac:dyDescent="0.2">
      <c r="B16" s="230" t="s">
        <v>175</v>
      </c>
      <c r="C16" s="31" t="s">
        <v>190</v>
      </c>
      <c r="D16" s="25" t="s">
        <v>204</v>
      </c>
      <c r="E16" s="18" t="s">
        <v>201</v>
      </c>
      <c r="F16" s="18"/>
    </row>
    <row r="17" spans="2:11" ht="34" x14ac:dyDescent="0.2">
      <c r="B17" s="230"/>
      <c r="C17" s="31" t="s">
        <v>133</v>
      </c>
      <c r="D17" s="25" t="s">
        <v>205</v>
      </c>
      <c r="E17" s="18" t="s">
        <v>202</v>
      </c>
      <c r="F17" s="18" t="s">
        <v>225</v>
      </c>
    </row>
    <row r="18" spans="2:11" ht="135" customHeight="1" x14ac:dyDescent="0.2">
      <c r="B18" s="230"/>
      <c r="C18" s="31" t="s">
        <v>115</v>
      </c>
      <c r="D18" s="25" t="s">
        <v>234</v>
      </c>
      <c r="E18" s="18" t="s">
        <v>203</v>
      </c>
      <c r="F18" s="42" t="s">
        <v>235</v>
      </c>
      <c r="G18" s="41" t="s">
        <v>230</v>
      </c>
      <c r="H18" s="4"/>
      <c r="I18" s="4"/>
      <c r="J18" s="4"/>
      <c r="K18" s="4"/>
    </row>
    <row r="19" spans="2:11" ht="34" x14ac:dyDescent="0.2">
      <c r="B19" s="230"/>
      <c r="C19" s="31" t="s">
        <v>114</v>
      </c>
      <c r="D19" s="25" t="s">
        <v>206</v>
      </c>
      <c r="E19" s="18" t="s">
        <v>226</v>
      </c>
      <c r="F19" s="18"/>
    </row>
    <row r="21" spans="2:11" ht="17" thickBot="1" x14ac:dyDescent="0.25">
      <c r="B21" t="s">
        <v>214</v>
      </c>
      <c r="F21" s="4"/>
    </row>
    <row r="22" spans="2:11" ht="17" x14ac:dyDescent="0.2">
      <c r="B22" s="231" t="s">
        <v>132</v>
      </c>
      <c r="C22" s="37" t="s">
        <v>116</v>
      </c>
      <c r="D22" s="222" t="s">
        <v>216</v>
      </c>
      <c r="E22" s="223"/>
    </row>
    <row r="23" spans="2:11" ht="32" customHeight="1" x14ac:dyDescent="0.2">
      <c r="B23" s="232"/>
      <c r="C23" s="8" t="s">
        <v>115</v>
      </c>
      <c r="D23" s="224" t="s">
        <v>218</v>
      </c>
      <c r="E23" s="225"/>
      <c r="F23" s="4"/>
    </row>
    <row r="24" spans="2:11" x14ac:dyDescent="0.2">
      <c r="B24" s="232"/>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0" zoomScale="135" zoomScaleNormal="253" workbookViewId="0">
      <selection activeCell="E13" sqref="E13"/>
    </sheetView>
  </sheetViews>
  <sheetFormatPr baseColWidth="10" defaultRowHeight="14" x14ac:dyDescent="0.2"/>
  <cols>
    <col min="1" max="1" width="10.83203125" style="188"/>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66" customFormat="1" ht="16" x14ac:dyDescent="0.2">
      <c r="A2" s="188"/>
      <c r="B2" s="233" t="s">
        <v>7</v>
      </c>
      <c r="C2" s="237" t="s">
        <v>8</v>
      </c>
      <c r="D2" s="245" t="s">
        <v>12</v>
      </c>
      <c r="E2" s="246"/>
      <c r="F2" s="247" t="s">
        <v>11</v>
      </c>
      <c r="G2" s="247"/>
      <c r="H2" s="247"/>
      <c r="I2" s="246"/>
      <c r="J2" s="235" t="s">
        <v>10</v>
      </c>
    </row>
    <row r="3" spans="1:10" s="66" customFormat="1" ht="17" thickBot="1" x14ac:dyDescent="0.25">
      <c r="A3" s="188"/>
      <c r="B3" s="234"/>
      <c r="C3" s="238"/>
      <c r="D3" s="11" t="s">
        <v>9</v>
      </c>
      <c r="E3" s="189" t="s">
        <v>25</v>
      </c>
      <c r="F3" s="11" t="s">
        <v>13</v>
      </c>
      <c r="G3" s="9" t="s">
        <v>14</v>
      </c>
      <c r="H3" s="9" t="s">
        <v>15</v>
      </c>
      <c r="I3" s="189" t="s">
        <v>25</v>
      </c>
      <c r="J3" s="236"/>
    </row>
    <row r="4" spans="1:10" s="86" customFormat="1" ht="91" customHeight="1" x14ac:dyDescent="0.2">
      <c r="A4" s="249" t="s">
        <v>85</v>
      </c>
      <c r="B4" s="81" t="s">
        <v>16</v>
      </c>
      <c r="C4" s="82" t="s">
        <v>17</v>
      </c>
      <c r="D4" s="83">
        <v>200000</v>
      </c>
      <c r="E4" s="81" t="s">
        <v>300</v>
      </c>
      <c r="F4" s="84"/>
      <c r="G4" s="85"/>
      <c r="H4" s="85"/>
      <c r="I4" s="81"/>
      <c r="J4" s="84" t="s">
        <v>26</v>
      </c>
    </row>
    <row r="5" spans="1:10" s="86" customFormat="1" ht="105" x14ac:dyDescent="0.2">
      <c r="A5" s="249"/>
      <c r="B5" s="88" t="s">
        <v>18</v>
      </c>
      <c r="C5" s="87" t="s">
        <v>19</v>
      </c>
      <c r="D5" s="89">
        <v>1980</v>
      </c>
      <c r="E5" s="88" t="s">
        <v>24</v>
      </c>
      <c r="F5" s="89"/>
      <c r="G5" s="90"/>
      <c r="H5" s="90"/>
      <c r="I5" s="88"/>
      <c r="J5" s="89" t="s">
        <v>287</v>
      </c>
    </row>
    <row r="6" spans="1:10" s="86" customFormat="1" ht="60" x14ac:dyDescent="0.2">
      <c r="A6" s="249"/>
      <c r="B6" s="88" t="s">
        <v>22</v>
      </c>
      <c r="C6" s="87" t="s">
        <v>20</v>
      </c>
      <c r="D6" s="89">
        <v>2055</v>
      </c>
      <c r="E6" s="88" t="s">
        <v>310</v>
      </c>
      <c r="F6" s="89"/>
      <c r="G6" s="90"/>
      <c r="H6" s="90"/>
      <c r="I6" s="88"/>
      <c r="J6" s="89"/>
    </row>
    <row r="7" spans="1:10" s="86" customFormat="1" ht="30" x14ac:dyDescent="0.2">
      <c r="A7" s="249"/>
      <c r="B7" s="88" t="s">
        <v>101</v>
      </c>
      <c r="C7" s="87" t="s">
        <v>102</v>
      </c>
      <c r="D7" s="89">
        <v>20</v>
      </c>
      <c r="E7" s="88" t="s">
        <v>103</v>
      </c>
      <c r="F7" s="89"/>
      <c r="G7" s="90"/>
      <c r="H7" s="90"/>
      <c r="I7" s="88"/>
      <c r="J7" s="89"/>
    </row>
    <row r="8" spans="1:10" s="86" customFormat="1" ht="45" x14ac:dyDescent="0.2">
      <c r="A8" s="249"/>
      <c r="B8" s="88" t="s">
        <v>23</v>
      </c>
      <c r="C8" s="87" t="s">
        <v>21</v>
      </c>
      <c r="D8" s="89">
        <v>0.25</v>
      </c>
      <c r="E8" s="88" t="s">
        <v>311</v>
      </c>
      <c r="F8" s="89"/>
      <c r="G8" s="90"/>
      <c r="H8" s="90"/>
      <c r="I8" s="88"/>
      <c r="J8" s="89"/>
    </row>
    <row r="9" spans="1:10" s="97" customFormat="1" ht="139" customHeight="1" x14ac:dyDescent="0.2">
      <c r="A9" s="91" t="s">
        <v>86</v>
      </c>
      <c r="B9" s="92" t="s">
        <v>27</v>
      </c>
      <c r="C9" s="93" t="s">
        <v>28</v>
      </c>
      <c r="D9" s="94" t="s">
        <v>29</v>
      </c>
      <c r="E9" s="92" t="s">
        <v>30</v>
      </c>
      <c r="F9" s="95"/>
      <c r="G9" s="96"/>
      <c r="H9" s="96"/>
      <c r="I9" s="92"/>
      <c r="J9" s="95" t="s">
        <v>31</v>
      </c>
    </row>
    <row r="10" spans="1:10" s="103" customFormat="1" ht="90" x14ac:dyDescent="0.2">
      <c r="A10" s="250" t="s">
        <v>87</v>
      </c>
      <c r="B10" s="98" t="s">
        <v>38</v>
      </c>
      <c r="C10" s="99" t="s">
        <v>36</v>
      </c>
      <c r="D10" s="100" t="s">
        <v>37</v>
      </c>
      <c r="E10" s="98" t="s">
        <v>312</v>
      </c>
      <c r="F10" s="101"/>
      <c r="G10" s="102"/>
      <c r="H10" s="102"/>
      <c r="I10" s="98"/>
      <c r="J10" s="101" t="s">
        <v>168</v>
      </c>
    </row>
    <row r="11" spans="1:10" s="103" customFormat="1" ht="60" customHeight="1" x14ac:dyDescent="0.2">
      <c r="A11" s="250"/>
      <c r="B11" s="241" t="s">
        <v>34</v>
      </c>
      <c r="C11" s="239" t="s">
        <v>39</v>
      </c>
      <c r="D11" s="101"/>
      <c r="E11" s="241" t="s">
        <v>327</v>
      </c>
      <c r="F11" s="101"/>
      <c r="G11" s="102"/>
      <c r="H11" s="102"/>
      <c r="I11" s="98"/>
      <c r="J11" s="243"/>
    </row>
    <row r="12" spans="1:10" s="103" customFormat="1" ht="60" customHeight="1" x14ac:dyDescent="0.2">
      <c r="A12" s="250"/>
      <c r="B12" s="242"/>
      <c r="C12" s="240"/>
      <c r="D12" s="101"/>
      <c r="E12" s="242"/>
      <c r="F12" s="101"/>
      <c r="G12" s="102"/>
      <c r="H12" s="102"/>
      <c r="I12" s="98"/>
      <c r="J12" s="244"/>
    </row>
    <row r="13" spans="1:10" s="108" customFormat="1" ht="105" x14ac:dyDescent="0.2">
      <c r="A13" s="251" t="s">
        <v>88</v>
      </c>
      <c r="B13" s="104" t="s">
        <v>32</v>
      </c>
      <c r="C13" s="105" t="s">
        <v>33</v>
      </c>
      <c r="D13" s="106" t="s">
        <v>309</v>
      </c>
      <c r="E13" s="104" t="s">
        <v>313</v>
      </c>
      <c r="F13" s="106"/>
      <c r="G13" s="107"/>
      <c r="H13" s="107"/>
      <c r="I13" s="104"/>
      <c r="J13" s="106"/>
    </row>
    <row r="14" spans="1:10" s="108" customFormat="1" ht="188" customHeight="1" x14ac:dyDescent="0.2">
      <c r="A14" s="251"/>
      <c r="B14" s="104" t="s">
        <v>35</v>
      </c>
      <c r="C14" s="105" t="s">
        <v>41</v>
      </c>
      <c r="D14" s="106" t="s">
        <v>40</v>
      </c>
      <c r="E14" s="104" t="s">
        <v>42</v>
      </c>
      <c r="F14" s="106"/>
      <c r="G14" s="107"/>
      <c r="H14" s="107"/>
      <c r="I14" s="104"/>
      <c r="J14" s="106" t="s">
        <v>43</v>
      </c>
    </row>
    <row r="15" spans="1:10" s="108" customFormat="1" ht="45" x14ac:dyDescent="0.2">
      <c r="A15" s="251"/>
      <c r="B15" s="104" t="s">
        <v>44</v>
      </c>
      <c r="C15" s="105" t="s">
        <v>45</v>
      </c>
      <c r="D15" s="106">
        <v>0.5</v>
      </c>
      <c r="E15" s="104" t="s">
        <v>46</v>
      </c>
      <c r="F15" s="106"/>
      <c r="G15" s="107"/>
      <c r="H15" s="107"/>
      <c r="I15" s="104"/>
      <c r="J15" s="106"/>
    </row>
    <row r="16" spans="1:10" s="108" customFormat="1" ht="60" x14ac:dyDescent="0.2">
      <c r="A16" s="251"/>
      <c r="B16" s="104" t="s">
        <v>47</v>
      </c>
      <c r="C16" s="105" t="s">
        <v>48</v>
      </c>
      <c r="D16" s="106">
        <v>1</v>
      </c>
      <c r="E16" s="104" t="s">
        <v>49</v>
      </c>
      <c r="F16" s="106"/>
      <c r="G16" s="107"/>
      <c r="H16" s="107"/>
      <c r="I16" s="104"/>
      <c r="J16" s="106" t="s">
        <v>50</v>
      </c>
    </row>
    <row r="17" spans="1:10" s="108" customFormat="1" ht="30" x14ac:dyDescent="0.2">
      <c r="A17" s="251"/>
      <c r="B17" s="104" t="s">
        <v>51</v>
      </c>
      <c r="C17" s="105" t="s">
        <v>52</v>
      </c>
      <c r="D17" s="106" t="s">
        <v>53</v>
      </c>
      <c r="E17" s="104" t="s">
        <v>54</v>
      </c>
      <c r="F17" s="106"/>
      <c r="G17" s="107"/>
      <c r="H17" s="107"/>
      <c r="I17" s="104"/>
      <c r="J17" s="106"/>
    </row>
    <row r="18" spans="1:10" s="108" customFormat="1" ht="135" x14ac:dyDescent="0.2">
      <c r="A18" s="251"/>
      <c r="B18" s="104" t="s">
        <v>55</v>
      </c>
      <c r="C18" s="105" t="s">
        <v>56</v>
      </c>
      <c r="D18" s="106"/>
      <c r="E18" s="104"/>
      <c r="F18" s="106" t="s">
        <v>57</v>
      </c>
      <c r="G18" s="107">
        <v>0</v>
      </c>
      <c r="H18" s="107">
        <v>1</v>
      </c>
      <c r="I18" s="104" t="s">
        <v>314</v>
      </c>
      <c r="J18" s="106"/>
    </row>
    <row r="19" spans="1:10" s="108" customFormat="1" ht="105" x14ac:dyDescent="0.2">
      <c r="A19" s="251"/>
      <c r="B19" s="104" t="s">
        <v>58</v>
      </c>
      <c r="C19" s="105" t="s">
        <v>59</v>
      </c>
      <c r="D19" s="106"/>
      <c r="E19" s="104"/>
      <c r="F19" s="106">
        <v>0.25</v>
      </c>
      <c r="G19" s="107">
        <v>0</v>
      </c>
      <c r="H19" s="107">
        <v>0.5</v>
      </c>
      <c r="I19" s="104" t="s">
        <v>60</v>
      </c>
      <c r="J19" s="106"/>
    </row>
    <row r="20" spans="1:10" s="108" customFormat="1" ht="115" customHeight="1" x14ac:dyDescent="0.2">
      <c r="A20" s="251"/>
      <c r="B20" s="104" t="s">
        <v>61</v>
      </c>
      <c r="C20" s="109" t="s">
        <v>62</v>
      </c>
      <c r="D20" s="106" t="s">
        <v>63</v>
      </c>
      <c r="E20" s="104" t="s">
        <v>301</v>
      </c>
      <c r="F20" s="106"/>
      <c r="G20" s="107"/>
      <c r="H20" s="107"/>
      <c r="I20" s="104"/>
      <c r="J20" s="110"/>
    </row>
    <row r="21" spans="1:10" s="43" customFormat="1" ht="120" customHeight="1" x14ac:dyDescent="0.2">
      <c r="A21" s="251"/>
      <c r="B21" s="191" t="s">
        <v>95</v>
      </c>
      <c r="C21" s="255" t="s">
        <v>98</v>
      </c>
      <c r="D21" s="110" t="s">
        <v>165</v>
      </c>
      <c r="E21" s="252" t="s">
        <v>99</v>
      </c>
      <c r="F21" s="72"/>
      <c r="G21" s="73"/>
      <c r="H21" s="73"/>
      <c r="I21" s="252" t="s">
        <v>167</v>
      </c>
      <c r="J21" s="258" t="s">
        <v>236</v>
      </c>
    </row>
    <row r="22" spans="1:10" s="43" customFormat="1" ht="52" customHeight="1" x14ac:dyDescent="0.2">
      <c r="A22" s="251"/>
      <c r="B22" s="192" t="s">
        <v>97</v>
      </c>
      <c r="C22" s="256"/>
      <c r="D22" s="193" t="s">
        <v>166</v>
      </c>
      <c r="E22" s="253"/>
      <c r="F22" s="71"/>
      <c r="G22" s="69"/>
      <c r="H22" s="69"/>
      <c r="I22" s="253"/>
      <c r="J22" s="259"/>
    </row>
    <row r="23" spans="1:10" s="43" customFormat="1" ht="180" x14ac:dyDescent="0.2">
      <c r="A23" s="251"/>
      <c r="B23" s="104" t="s">
        <v>96</v>
      </c>
      <c r="C23" s="257"/>
      <c r="D23" s="110" t="s">
        <v>308</v>
      </c>
      <c r="E23" s="191" t="s">
        <v>100</v>
      </c>
      <c r="F23" s="74"/>
      <c r="G23" s="69"/>
      <c r="H23" s="69"/>
      <c r="I23" s="254"/>
      <c r="J23" s="260"/>
    </row>
    <row r="24" spans="1:10" s="43" customFormat="1" ht="255" x14ac:dyDescent="0.2">
      <c r="A24" s="190"/>
      <c r="B24" s="104" t="s">
        <v>90</v>
      </c>
      <c r="C24" s="105" t="s">
        <v>91</v>
      </c>
      <c r="D24" s="106" t="s">
        <v>93</v>
      </c>
      <c r="E24" s="104" t="s">
        <v>94</v>
      </c>
      <c r="F24" s="69"/>
      <c r="G24" s="70"/>
      <c r="H24" s="70"/>
      <c r="I24" s="68"/>
      <c r="J24" s="106" t="s">
        <v>237</v>
      </c>
    </row>
    <row r="25" spans="1:10" s="118" customFormat="1" ht="73" customHeight="1" x14ac:dyDescent="0.2">
      <c r="A25" s="111" t="s">
        <v>232</v>
      </c>
      <c r="B25" s="112" t="s">
        <v>231</v>
      </c>
      <c r="C25" s="113" t="s">
        <v>233</v>
      </c>
      <c r="D25" s="114">
        <v>0</v>
      </c>
      <c r="E25" s="115" t="s">
        <v>219</v>
      </c>
      <c r="F25" s="114"/>
      <c r="G25" s="114"/>
      <c r="H25" s="114"/>
      <c r="I25" s="116"/>
      <c r="J25" s="117"/>
    </row>
    <row r="26" spans="1:10" s="125" customFormat="1" ht="42" customHeight="1" x14ac:dyDescent="0.2">
      <c r="A26" s="119" t="s">
        <v>80</v>
      </c>
      <c r="B26" s="120" t="s">
        <v>64</v>
      </c>
      <c r="C26" s="121" t="s">
        <v>65</v>
      </c>
      <c r="D26" s="122" t="s">
        <v>66</v>
      </c>
      <c r="E26" s="120"/>
      <c r="F26" s="122"/>
      <c r="G26" s="123"/>
      <c r="H26" s="123"/>
      <c r="I26" s="120"/>
      <c r="J26" s="124" t="s">
        <v>92</v>
      </c>
    </row>
    <row r="27" spans="1:10" s="125" customFormat="1" ht="45" x14ac:dyDescent="0.2">
      <c r="A27" s="119"/>
      <c r="B27" s="120" t="s">
        <v>67</v>
      </c>
      <c r="C27" s="263" t="s">
        <v>79</v>
      </c>
      <c r="D27" s="122"/>
      <c r="E27" s="120"/>
      <c r="F27" s="122">
        <v>0.25</v>
      </c>
      <c r="G27" s="123">
        <v>0</v>
      </c>
      <c r="H27" s="123">
        <v>1</v>
      </c>
      <c r="I27" s="120" t="s">
        <v>81</v>
      </c>
      <c r="J27" s="124" t="s">
        <v>75</v>
      </c>
    </row>
    <row r="28" spans="1:10" s="125" customFormat="1" ht="68" customHeight="1" x14ac:dyDescent="0.2">
      <c r="A28" s="119"/>
      <c r="B28" s="120" t="s">
        <v>82</v>
      </c>
      <c r="C28" s="264"/>
      <c r="D28" s="122">
        <v>50</v>
      </c>
      <c r="E28" s="120" t="s">
        <v>84</v>
      </c>
      <c r="F28" s="122"/>
      <c r="G28" s="123"/>
      <c r="H28" s="123"/>
      <c r="I28" s="120"/>
      <c r="J28" s="122"/>
    </row>
    <row r="29" spans="1:10" s="125" customFormat="1" ht="65" customHeight="1" x14ac:dyDescent="0.2">
      <c r="A29" s="119"/>
      <c r="B29" s="120" t="s">
        <v>83</v>
      </c>
      <c r="C29" s="265"/>
      <c r="D29" s="122">
        <v>0</v>
      </c>
      <c r="E29" s="120" t="s">
        <v>84</v>
      </c>
      <c r="F29" s="122"/>
      <c r="G29" s="123"/>
      <c r="H29" s="123"/>
      <c r="I29" s="120"/>
      <c r="J29" s="122"/>
    </row>
    <row r="30" spans="1:10" s="125" customFormat="1" ht="77" customHeight="1" x14ac:dyDescent="0.2">
      <c r="A30" s="119"/>
      <c r="B30" s="120" t="s">
        <v>68</v>
      </c>
      <c r="C30" s="126" t="s">
        <v>302</v>
      </c>
      <c r="D30" s="122"/>
      <c r="E30" s="120"/>
      <c r="F30" s="122">
        <v>5</v>
      </c>
      <c r="G30" s="123">
        <v>1</v>
      </c>
      <c r="H30" s="123">
        <v>12</v>
      </c>
      <c r="I30" s="120" t="s">
        <v>315</v>
      </c>
      <c r="J30" s="122" t="s">
        <v>75</v>
      </c>
    </row>
    <row r="31" spans="1:10" s="125" customFormat="1" ht="69" customHeight="1" x14ac:dyDescent="0.2">
      <c r="A31" s="119"/>
      <c r="B31" s="120" t="s">
        <v>76</v>
      </c>
      <c r="C31" s="126" t="s">
        <v>77</v>
      </c>
      <c r="D31" s="122">
        <v>20</v>
      </c>
      <c r="E31" s="120" t="s">
        <v>78</v>
      </c>
      <c r="F31" s="122"/>
      <c r="G31" s="123"/>
      <c r="H31" s="123"/>
      <c r="I31" s="120"/>
      <c r="J31" s="122"/>
    </row>
    <row r="32" spans="1:10" s="125" customFormat="1" ht="60" x14ac:dyDescent="0.2">
      <c r="A32" s="119"/>
      <c r="B32" s="120" t="s">
        <v>69</v>
      </c>
      <c r="C32" s="127" t="s">
        <v>70</v>
      </c>
      <c r="D32" s="122" t="s">
        <v>71</v>
      </c>
      <c r="E32" s="120" t="s">
        <v>72</v>
      </c>
      <c r="F32" s="122" t="s">
        <v>74</v>
      </c>
      <c r="G32" s="123">
        <v>0</v>
      </c>
      <c r="H32" s="123">
        <v>1</v>
      </c>
      <c r="I32" s="120" t="s">
        <v>73</v>
      </c>
      <c r="J32" s="122"/>
    </row>
    <row r="33" spans="1:10" s="132" customFormat="1" ht="180" customHeight="1" x14ac:dyDescent="0.2">
      <c r="A33" s="248" t="s">
        <v>239</v>
      </c>
      <c r="B33" s="128" t="s">
        <v>104</v>
      </c>
      <c r="C33" s="129" t="s">
        <v>105</v>
      </c>
      <c r="D33" s="130" t="b">
        <v>0</v>
      </c>
      <c r="E33" s="128" t="s">
        <v>219</v>
      </c>
      <c r="F33" s="130"/>
      <c r="G33" s="131"/>
      <c r="H33" s="131"/>
      <c r="I33" s="128"/>
      <c r="J33" s="261" t="s">
        <v>238</v>
      </c>
    </row>
    <row r="34" spans="1:10" s="132" customFormat="1" ht="60" x14ac:dyDescent="0.2">
      <c r="A34" s="248"/>
      <c r="B34" s="128" t="s">
        <v>106</v>
      </c>
      <c r="C34" s="129" t="s">
        <v>108</v>
      </c>
      <c r="D34" s="130" t="s">
        <v>107</v>
      </c>
      <c r="E34" s="128" t="s">
        <v>316</v>
      </c>
      <c r="F34" s="130"/>
      <c r="G34" s="131"/>
      <c r="H34" s="131"/>
      <c r="I34" s="128"/>
      <c r="J34" s="262"/>
    </row>
  </sheetData>
  <mergeCells count="19">
    <mergeCell ref="I21:I23"/>
    <mergeCell ref="C21:C23"/>
    <mergeCell ref="E21:E22"/>
    <mergeCell ref="J21:J23"/>
    <mergeCell ref="J33:J34"/>
    <mergeCell ref="C27:C29"/>
    <mergeCell ref="A33:A34"/>
    <mergeCell ref="A4:A8"/>
    <mergeCell ref="A10:A12"/>
    <mergeCell ref="A13:A23"/>
    <mergeCell ref="B11:B12"/>
    <mergeCell ref="B2:B3"/>
    <mergeCell ref="J2:J3"/>
    <mergeCell ref="C2:C3"/>
    <mergeCell ref="C11:C12"/>
    <mergeCell ref="E11:E12"/>
    <mergeCell ref="J11:J12"/>
    <mergeCell ref="D2:E2"/>
    <mergeCell ref="F2:I2"/>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49" zoomScale="125" workbookViewId="0">
      <selection activeCell="D144" sqref="D144"/>
    </sheetView>
  </sheetViews>
  <sheetFormatPr baseColWidth="10" defaultRowHeight="16" x14ac:dyDescent="0.2"/>
  <cols>
    <col min="1" max="7" width="10.83203125" style="64"/>
    <col min="8" max="8" width="61.83203125" style="64" bestFit="1" customWidth="1"/>
    <col min="9" max="16384" width="10.83203125" style="64"/>
  </cols>
  <sheetData>
    <row r="1" spans="1:8" ht="17" thickBot="1" x14ac:dyDescent="0.25">
      <c r="A1" s="150" t="s">
        <v>139</v>
      </c>
      <c r="B1" s="151" t="s">
        <v>138</v>
      </c>
      <c r="C1" s="152" t="s">
        <v>137</v>
      </c>
      <c r="D1" s="153" t="s">
        <v>136</v>
      </c>
      <c r="E1" s="154" t="s">
        <v>135</v>
      </c>
      <c r="H1" s="155" t="s">
        <v>151</v>
      </c>
    </row>
    <row r="2" spans="1:8" s="159" customFormat="1" x14ac:dyDescent="0.2">
      <c r="A2" s="133" t="s">
        <v>126</v>
      </c>
      <c r="B2" s="156" t="s">
        <v>116</v>
      </c>
      <c r="C2" s="157" t="s">
        <v>124</v>
      </c>
      <c r="D2" s="134" t="s">
        <v>125</v>
      </c>
      <c r="E2" s="158">
        <v>0.12</v>
      </c>
      <c r="H2" s="266" t="s">
        <v>304</v>
      </c>
    </row>
    <row r="3" spans="1:8" s="159" customFormat="1" x14ac:dyDescent="0.2">
      <c r="A3" s="136" t="s">
        <v>126</v>
      </c>
      <c r="B3" s="160" t="s">
        <v>116</v>
      </c>
      <c r="C3" s="161" t="s">
        <v>124</v>
      </c>
      <c r="D3" s="137" t="s">
        <v>119</v>
      </c>
      <c r="E3" s="162">
        <v>0.88</v>
      </c>
      <c r="H3" s="266"/>
    </row>
    <row r="4" spans="1:8" s="159" customFormat="1" x14ac:dyDescent="0.2">
      <c r="A4" s="136" t="s">
        <v>126</v>
      </c>
      <c r="B4" s="160" t="s">
        <v>116</v>
      </c>
      <c r="C4" s="161" t="s">
        <v>124</v>
      </c>
      <c r="D4" s="137" t="s">
        <v>117</v>
      </c>
      <c r="E4" s="162">
        <v>0</v>
      </c>
      <c r="H4" s="266"/>
    </row>
    <row r="5" spans="1:8" s="159" customFormat="1" x14ac:dyDescent="0.2">
      <c r="A5" s="136" t="s">
        <v>126</v>
      </c>
      <c r="B5" s="160" t="s">
        <v>116</v>
      </c>
      <c r="C5" s="161" t="s">
        <v>123</v>
      </c>
      <c r="D5" s="137" t="s">
        <v>125</v>
      </c>
      <c r="E5" s="158">
        <v>0.12</v>
      </c>
      <c r="H5" s="266"/>
    </row>
    <row r="6" spans="1:8" s="159" customFormat="1" x14ac:dyDescent="0.2">
      <c r="A6" s="136" t="s">
        <v>126</v>
      </c>
      <c r="B6" s="160" t="s">
        <v>116</v>
      </c>
      <c r="C6" s="161" t="s">
        <v>123</v>
      </c>
      <c r="D6" s="137" t="s">
        <v>119</v>
      </c>
      <c r="E6" s="162">
        <v>0.88</v>
      </c>
      <c r="H6" s="266"/>
    </row>
    <row r="7" spans="1:8" s="159" customFormat="1" x14ac:dyDescent="0.2">
      <c r="A7" s="136" t="s">
        <v>126</v>
      </c>
      <c r="B7" s="160" t="s">
        <v>116</v>
      </c>
      <c r="C7" s="161" t="s">
        <v>123</v>
      </c>
      <c r="D7" s="137" t="s">
        <v>117</v>
      </c>
      <c r="E7" s="162">
        <v>0</v>
      </c>
      <c r="H7" s="266"/>
    </row>
    <row r="8" spans="1:8" s="159" customFormat="1" x14ac:dyDescent="0.2">
      <c r="A8" s="136" t="s">
        <v>126</v>
      </c>
      <c r="B8" s="160" t="s">
        <v>116</v>
      </c>
      <c r="C8" s="161" t="s">
        <v>122</v>
      </c>
      <c r="D8" s="137" t="s">
        <v>125</v>
      </c>
      <c r="E8" s="158">
        <v>0.12</v>
      </c>
      <c r="H8" s="266"/>
    </row>
    <row r="9" spans="1:8" s="159" customFormat="1" x14ac:dyDescent="0.2">
      <c r="A9" s="136" t="s">
        <v>126</v>
      </c>
      <c r="B9" s="160" t="s">
        <v>116</v>
      </c>
      <c r="C9" s="161" t="s">
        <v>122</v>
      </c>
      <c r="D9" s="137" t="s">
        <v>119</v>
      </c>
      <c r="E9" s="162">
        <v>0.88</v>
      </c>
      <c r="H9" s="266"/>
    </row>
    <row r="10" spans="1:8" s="159" customFormat="1" x14ac:dyDescent="0.2">
      <c r="A10" s="136" t="s">
        <v>126</v>
      </c>
      <c r="B10" s="160" t="s">
        <v>116</v>
      </c>
      <c r="C10" s="161" t="s">
        <v>122</v>
      </c>
      <c r="D10" s="137" t="s">
        <v>117</v>
      </c>
      <c r="E10" s="162">
        <v>0</v>
      </c>
      <c r="H10" s="266"/>
    </row>
    <row r="11" spans="1:8" s="159" customFormat="1" x14ac:dyDescent="0.2">
      <c r="A11" s="136" t="s">
        <v>126</v>
      </c>
      <c r="B11" s="160" t="s">
        <v>116</v>
      </c>
      <c r="C11" s="161" t="s">
        <v>121</v>
      </c>
      <c r="D11" s="137" t="s">
        <v>125</v>
      </c>
      <c r="E11" s="158">
        <v>0.12</v>
      </c>
      <c r="H11" s="266"/>
    </row>
    <row r="12" spans="1:8" s="159" customFormat="1" x14ac:dyDescent="0.2">
      <c r="A12" s="136" t="s">
        <v>126</v>
      </c>
      <c r="B12" s="160" t="s">
        <v>116</v>
      </c>
      <c r="C12" s="161" t="s">
        <v>121</v>
      </c>
      <c r="D12" s="137" t="s">
        <v>119</v>
      </c>
      <c r="E12" s="162">
        <v>0.88</v>
      </c>
      <c r="H12" s="266"/>
    </row>
    <row r="13" spans="1:8" s="159" customFormat="1" x14ac:dyDescent="0.2">
      <c r="A13" s="136" t="s">
        <v>126</v>
      </c>
      <c r="B13" s="160" t="s">
        <v>116</v>
      </c>
      <c r="C13" s="161" t="s">
        <v>121</v>
      </c>
      <c r="D13" s="137" t="s">
        <v>117</v>
      </c>
      <c r="E13" s="162">
        <v>0</v>
      </c>
      <c r="H13" s="266"/>
    </row>
    <row r="14" spans="1:8" s="159" customFormat="1" x14ac:dyDescent="0.2">
      <c r="A14" s="136" t="s">
        <v>126</v>
      </c>
      <c r="B14" s="160" t="s">
        <v>116</v>
      </c>
      <c r="C14" s="161" t="s">
        <v>120</v>
      </c>
      <c r="D14" s="137" t="s">
        <v>125</v>
      </c>
      <c r="E14" s="158">
        <v>0.12</v>
      </c>
      <c r="H14" s="266"/>
    </row>
    <row r="15" spans="1:8" s="159" customFormat="1" x14ac:dyDescent="0.2">
      <c r="A15" s="136" t="s">
        <v>126</v>
      </c>
      <c r="B15" s="160" t="s">
        <v>116</v>
      </c>
      <c r="C15" s="161" t="s">
        <v>120</v>
      </c>
      <c r="D15" s="137" t="s">
        <v>119</v>
      </c>
      <c r="E15" s="162">
        <v>0.88</v>
      </c>
      <c r="H15" s="266"/>
    </row>
    <row r="16" spans="1:8" s="159" customFormat="1" x14ac:dyDescent="0.2">
      <c r="A16" s="136" t="s">
        <v>126</v>
      </c>
      <c r="B16" s="160" t="s">
        <v>116</v>
      </c>
      <c r="C16" s="161" t="s">
        <v>120</v>
      </c>
      <c r="D16" s="137" t="s">
        <v>117</v>
      </c>
      <c r="E16" s="162">
        <v>0</v>
      </c>
      <c r="H16" s="266"/>
    </row>
    <row r="17" spans="1:8" s="159" customFormat="1" x14ac:dyDescent="0.2">
      <c r="A17" s="136" t="s">
        <v>126</v>
      </c>
      <c r="B17" s="160" t="s">
        <v>116</v>
      </c>
      <c r="C17" s="161" t="s">
        <v>118</v>
      </c>
      <c r="D17" s="137" t="s">
        <v>125</v>
      </c>
      <c r="E17" s="158">
        <v>0.12</v>
      </c>
      <c r="H17" s="266"/>
    </row>
    <row r="18" spans="1:8" s="159" customFormat="1" x14ac:dyDescent="0.2">
      <c r="A18" s="136" t="s">
        <v>126</v>
      </c>
      <c r="B18" s="160" t="s">
        <v>116</v>
      </c>
      <c r="C18" s="161" t="s">
        <v>118</v>
      </c>
      <c r="D18" s="137" t="s">
        <v>119</v>
      </c>
      <c r="E18" s="162">
        <v>0.88</v>
      </c>
      <c r="H18" s="266"/>
    </row>
    <row r="19" spans="1:8" s="159" customFormat="1" x14ac:dyDescent="0.2">
      <c r="A19" s="136" t="s">
        <v>126</v>
      </c>
      <c r="B19" s="160" t="s">
        <v>116</v>
      </c>
      <c r="C19" s="161" t="s">
        <v>118</v>
      </c>
      <c r="D19" s="137" t="s">
        <v>117</v>
      </c>
      <c r="E19" s="162">
        <v>0</v>
      </c>
      <c r="H19" s="266"/>
    </row>
    <row r="20" spans="1:8" s="159" customFormat="1" x14ac:dyDescent="0.2">
      <c r="A20" s="136" t="s">
        <v>126</v>
      </c>
      <c r="B20" s="160" t="s">
        <v>115</v>
      </c>
      <c r="C20" s="161" t="s">
        <v>124</v>
      </c>
      <c r="D20" s="137" t="s">
        <v>125</v>
      </c>
      <c r="E20" s="158">
        <v>0.12</v>
      </c>
      <c r="H20" s="266"/>
    </row>
    <row r="21" spans="1:8" s="159" customFormat="1" x14ac:dyDescent="0.2">
      <c r="A21" s="136" t="s">
        <v>126</v>
      </c>
      <c r="B21" s="160" t="s">
        <v>115</v>
      </c>
      <c r="C21" s="161" t="s">
        <v>124</v>
      </c>
      <c r="D21" s="137" t="s">
        <v>119</v>
      </c>
      <c r="E21" s="162">
        <v>0.88</v>
      </c>
      <c r="H21" s="266"/>
    </row>
    <row r="22" spans="1:8" s="159" customFormat="1" x14ac:dyDescent="0.2">
      <c r="A22" s="136" t="s">
        <v>126</v>
      </c>
      <c r="B22" s="160" t="s">
        <v>115</v>
      </c>
      <c r="C22" s="161" t="s">
        <v>124</v>
      </c>
      <c r="D22" s="137" t="s">
        <v>117</v>
      </c>
      <c r="E22" s="162">
        <v>0</v>
      </c>
      <c r="H22" s="266"/>
    </row>
    <row r="23" spans="1:8" s="159" customFormat="1" x14ac:dyDescent="0.2">
      <c r="A23" s="136" t="s">
        <v>126</v>
      </c>
      <c r="B23" s="160" t="s">
        <v>115</v>
      </c>
      <c r="C23" s="161" t="s">
        <v>123</v>
      </c>
      <c r="D23" s="137" t="s">
        <v>125</v>
      </c>
      <c r="E23" s="158">
        <v>0.12</v>
      </c>
      <c r="H23" s="266"/>
    </row>
    <row r="24" spans="1:8" s="159" customFormat="1" x14ac:dyDescent="0.2">
      <c r="A24" s="136" t="s">
        <v>126</v>
      </c>
      <c r="B24" s="160" t="s">
        <v>115</v>
      </c>
      <c r="C24" s="161" t="s">
        <v>123</v>
      </c>
      <c r="D24" s="137" t="s">
        <v>119</v>
      </c>
      <c r="E24" s="162">
        <v>0.88</v>
      </c>
      <c r="H24" s="266"/>
    </row>
    <row r="25" spans="1:8" s="159" customFormat="1" x14ac:dyDescent="0.2">
      <c r="A25" s="136" t="s">
        <v>126</v>
      </c>
      <c r="B25" s="160" t="s">
        <v>115</v>
      </c>
      <c r="C25" s="161" t="s">
        <v>123</v>
      </c>
      <c r="D25" s="137" t="s">
        <v>117</v>
      </c>
      <c r="E25" s="162">
        <v>0</v>
      </c>
      <c r="H25" s="266"/>
    </row>
    <row r="26" spans="1:8" s="159" customFormat="1" x14ac:dyDescent="0.2">
      <c r="A26" s="136" t="s">
        <v>126</v>
      </c>
      <c r="B26" s="160" t="s">
        <v>115</v>
      </c>
      <c r="C26" s="161" t="s">
        <v>122</v>
      </c>
      <c r="D26" s="137" t="s">
        <v>125</v>
      </c>
      <c r="E26" s="158">
        <v>0.12</v>
      </c>
      <c r="H26" s="266"/>
    </row>
    <row r="27" spans="1:8" s="159" customFormat="1" x14ac:dyDescent="0.2">
      <c r="A27" s="136" t="s">
        <v>126</v>
      </c>
      <c r="B27" s="160" t="s">
        <v>115</v>
      </c>
      <c r="C27" s="161" t="s">
        <v>122</v>
      </c>
      <c r="D27" s="137" t="s">
        <v>119</v>
      </c>
      <c r="E27" s="162">
        <v>0.88</v>
      </c>
      <c r="H27" s="266"/>
    </row>
    <row r="28" spans="1:8" s="159" customFormat="1" x14ac:dyDescent="0.2">
      <c r="A28" s="136" t="s">
        <v>126</v>
      </c>
      <c r="B28" s="160" t="s">
        <v>115</v>
      </c>
      <c r="C28" s="161" t="s">
        <v>122</v>
      </c>
      <c r="D28" s="137" t="s">
        <v>117</v>
      </c>
      <c r="E28" s="162">
        <v>0</v>
      </c>
      <c r="H28" s="266"/>
    </row>
    <row r="29" spans="1:8" s="159" customFormat="1" x14ac:dyDescent="0.2">
      <c r="A29" s="136" t="s">
        <v>126</v>
      </c>
      <c r="B29" s="160" t="s">
        <v>115</v>
      </c>
      <c r="C29" s="161" t="s">
        <v>121</v>
      </c>
      <c r="D29" s="137" t="s">
        <v>125</v>
      </c>
      <c r="E29" s="158">
        <v>0.12</v>
      </c>
      <c r="H29" s="266"/>
    </row>
    <row r="30" spans="1:8" s="159" customFormat="1" x14ac:dyDescent="0.2">
      <c r="A30" s="136" t="s">
        <v>126</v>
      </c>
      <c r="B30" s="160" t="s">
        <v>115</v>
      </c>
      <c r="C30" s="161" t="s">
        <v>121</v>
      </c>
      <c r="D30" s="137" t="s">
        <v>119</v>
      </c>
      <c r="E30" s="162">
        <v>0.88</v>
      </c>
      <c r="H30" s="266"/>
    </row>
    <row r="31" spans="1:8" s="159" customFormat="1" x14ac:dyDescent="0.2">
      <c r="A31" s="136" t="s">
        <v>126</v>
      </c>
      <c r="B31" s="160" t="s">
        <v>115</v>
      </c>
      <c r="C31" s="161" t="s">
        <v>121</v>
      </c>
      <c r="D31" s="137" t="s">
        <v>117</v>
      </c>
      <c r="E31" s="162">
        <v>0</v>
      </c>
      <c r="H31" s="266"/>
    </row>
    <row r="32" spans="1:8" s="159" customFormat="1" x14ac:dyDescent="0.2">
      <c r="A32" s="136" t="s">
        <v>126</v>
      </c>
      <c r="B32" s="160" t="s">
        <v>115</v>
      </c>
      <c r="C32" s="161" t="s">
        <v>120</v>
      </c>
      <c r="D32" s="137" t="s">
        <v>125</v>
      </c>
      <c r="E32" s="158">
        <v>0.12</v>
      </c>
      <c r="H32" s="266"/>
    </row>
    <row r="33" spans="1:8" s="159" customFormat="1" x14ac:dyDescent="0.2">
      <c r="A33" s="136" t="s">
        <v>126</v>
      </c>
      <c r="B33" s="160" t="s">
        <v>115</v>
      </c>
      <c r="C33" s="161" t="s">
        <v>120</v>
      </c>
      <c r="D33" s="137" t="s">
        <v>119</v>
      </c>
      <c r="E33" s="162">
        <v>0.88</v>
      </c>
      <c r="H33" s="266"/>
    </row>
    <row r="34" spans="1:8" s="159" customFormat="1" x14ac:dyDescent="0.2">
      <c r="A34" s="136" t="s">
        <v>126</v>
      </c>
      <c r="B34" s="160" t="s">
        <v>115</v>
      </c>
      <c r="C34" s="161" t="s">
        <v>120</v>
      </c>
      <c r="D34" s="137" t="s">
        <v>117</v>
      </c>
      <c r="E34" s="162">
        <v>0</v>
      </c>
      <c r="H34" s="266"/>
    </row>
    <row r="35" spans="1:8" s="159" customFormat="1" x14ac:dyDescent="0.2">
      <c r="A35" s="136" t="s">
        <v>126</v>
      </c>
      <c r="B35" s="160" t="s">
        <v>115</v>
      </c>
      <c r="C35" s="161" t="s">
        <v>118</v>
      </c>
      <c r="D35" s="137" t="s">
        <v>125</v>
      </c>
      <c r="E35" s="158">
        <v>0.12</v>
      </c>
      <c r="H35" s="266"/>
    </row>
    <row r="36" spans="1:8" s="159" customFormat="1" x14ac:dyDescent="0.2">
      <c r="A36" s="136" t="s">
        <v>126</v>
      </c>
      <c r="B36" s="160" t="s">
        <v>115</v>
      </c>
      <c r="C36" s="161" t="s">
        <v>118</v>
      </c>
      <c r="D36" s="137" t="s">
        <v>119</v>
      </c>
      <c r="E36" s="162">
        <v>0.88</v>
      </c>
      <c r="H36" s="266"/>
    </row>
    <row r="37" spans="1:8" s="159" customFormat="1" x14ac:dyDescent="0.2">
      <c r="A37" s="136" t="s">
        <v>126</v>
      </c>
      <c r="B37" s="160" t="s">
        <v>115</v>
      </c>
      <c r="C37" s="161" t="s">
        <v>118</v>
      </c>
      <c r="D37" s="137" t="s">
        <v>117</v>
      </c>
      <c r="E37" s="162">
        <v>0</v>
      </c>
      <c r="H37" s="266"/>
    </row>
    <row r="38" spans="1:8" s="159" customFormat="1" x14ac:dyDescent="0.2">
      <c r="A38" s="136" t="s">
        <v>126</v>
      </c>
      <c r="B38" s="160" t="s">
        <v>114</v>
      </c>
      <c r="C38" s="161" t="s">
        <v>124</v>
      </c>
      <c r="D38" s="137" t="s">
        <v>125</v>
      </c>
      <c r="E38" s="162">
        <v>0.94</v>
      </c>
      <c r="H38" s="266"/>
    </row>
    <row r="39" spans="1:8" s="159" customFormat="1" x14ac:dyDescent="0.2">
      <c r="A39" s="136" t="s">
        <v>126</v>
      </c>
      <c r="B39" s="160" t="s">
        <v>114</v>
      </c>
      <c r="C39" s="161" t="s">
        <v>124</v>
      </c>
      <c r="D39" s="137" t="s">
        <v>119</v>
      </c>
      <c r="E39" s="162">
        <v>0.06</v>
      </c>
      <c r="H39" s="266"/>
    </row>
    <row r="40" spans="1:8" s="159" customFormat="1" x14ac:dyDescent="0.2">
      <c r="A40" s="136" t="s">
        <v>126</v>
      </c>
      <c r="B40" s="160" t="s">
        <v>114</v>
      </c>
      <c r="C40" s="161" t="s">
        <v>124</v>
      </c>
      <c r="D40" s="137" t="s">
        <v>117</v>
      </c>
      <c r="E40" s="162">
        <v>0</v>
      </c>
      <c r="H40" s="266"/>
    </row>
    <row r="41" spans="1:8" s="159" customFormat="1" x14ac:dyDescent="0.2">
      <c r="A41" s="136" t="s">
        <v>126</v>
      </c>
      <c r="B41" s="160" t="s">
        <v>114</v>
      </c>
      <c r="C41" s="161" t="s">
        <v>123</v>
      </c>
      <c r="D41" s="137" t="s">
        <v>125</v>
      </c>
      <c r="E41" s="162">
        <v>0.94</v>
      </c>
      <c r="H41" s="266"/>
    </row>
    <row r="42" spans="1:8" s="159" customFormat="1" x14ac:dyDescent="0.2">
      <c r="A42" s="136" t="s">
        <v>126</v>
      </c>
      <c r="B42" s="160" t="s">
        <v>114</v>
      </c>
      <c r="C42" s="161" t="s">
        <v>123</v>
      </c>
      <c r="D42" s="137" t="s">
        <v>119</v>
      </c>
      <c r="E42" s="162">
        <v>0.06</v>
      </c>
      <c r="H42" s="266"/>
    </row>
    <row r="43" spans="1:8" s="159" customFormat="1" x14ac:dyDescent="0.2">
      <c r="A43" s="136" t="s">
        <v>126</v>
      </c>
      <c r="B43" s="160" t="s">
        <v>114</v>
      </c>
      <c r="C43" s="161" t="s">
        <v>123</v>
      </c>
      <c r="D43" s="137" t="s">
        <v>117</v>
      </c>
      <c r="E43" s="162">
        <v>0</v>
      </c>
      <c r="H43" s="266"/>
    </row>
    <row r="44" spans="1:8" s="159" customFormat="1" x14ac:dyDescent="0.2">
      <c r="A44" s="136" t="s">
        <v>126</v>
      </c>
      <c r="B44" s="160" t="s">
        <v>114</v>
      </c>
      <c r="C44" s="161" t="s">
        <v>122</v>
      </c>
      <c r="D44" s="137" t="s">
        <v>125</v>
      </c>
      <c r="E44" s="162">
        <v>0.94</v>
      </c>
      <c r="H44" s="266"/>
    </row>
    <row r="45" spans="1:8" s="159" customFormat="1" x14ac:dyDescent="0.2">
      <c r="A45" s="136" t="s">
        <v>126</v>
      </c>
      <c r="B45" s="160" t="s">
        <v>114</v>
      </c>
      <c r="C45" s="161" t="s">
        <v>122</v>
      </c>
      <c r="D45" s="137" t="s">
        <v>119</v>
      </c>
      <c r="E45" s="162">
        <v>0.06</v>
      </c>
      <c r="H45" s="266"/>
    </row>
    <row r="46" spans="1:8" s="159" customFormat="1" x14ac:dyDescent="0.2">
      <c r="A46" s="136" t="s">
        <v>126</v>
      </c>
      <c r="B46" s="160" t="s">
        <v>114</v>
      </c>
      <c r="C46" s="161" t="s">
        <v>122</v>
      </c>
      <c r="D46" s="137" t="s">
        <v>117</v>
      </c>
      <c r="E46" s="162">
        <v>0</v>
      </c>
      <c r="H46" s="266"/>
    </row>
    <row r="47" spans="1:8" s="159" customFormat="1" x14ac:dyDescent="0.2">
      <c r="A47" s="136" t="s">
        <v>126</v>
      </c>
      <c r="B47" s="160" t="s">
        <v>114</v>
      </c>
      <c r="C47" s="161" t="s">
        <v>121</v>
      </c>
      <c r="D47" s="137" t="s">
        <v>125</v>
      </c>
      <c r="E47" s="162">
        <v>0.94</v>
      </c>
      <c r="H47" s="266"/>
    </row>
    <row r="48" spans="1:8" s="159" customFormat="1" x14ac:dyDescent="0.2">
      <c r="A48" s="136" t="s">
        <v>126</v>
      </c>
      <c r="B48" s="160" t="s">
        <v>114</v>
      </c>
      <c r="C48" s="161" t="s">
        <v>121</v>
      </c>
      <c r="D48" s="137" t="s">
        <v>119</v>
      </c>
      <c r="E48" s="162">
        <v>0.06</v>
      </c>
      <c r="H48" s="266"/>
    </row>
    <row r="49" spans="1:8" s="159" customFormat="1" x14ac:dyDescent="0.2">
      <c r="A49" s="136" t="s">
        <v>126</v>
      </c>
      <c r="B49" s="160" t="s">
        <v>114</v>
      </c>
      <c r="C49" s="161" t="s">
        <v>121</v>
      </c>
      <c r="D49" s="137" t="s">
        <v>117</v>
      </c>
      <c r="E49" s="162">
        <v>0</v>
      </c>
      <c r="H49" s="266"/>
    </row>
    <row r="50" spans="1:8" s="159" customFormat="1" x14ac:dyDescent="0.2">
      <c r="A50" s="136" t="s">
        <v>126</v>
      </c>
      <c r="B50" s="160" t="s">
        <v>114</v>
      </c>
      <c r="C50" s="161" t="s">
        <v>120</v>
      </c>
      <c r="D50" s="137" t="s">
        <v>125</v>
      </c>
      <c r="E50" s="162">
        <v>0.94</v>
      </c>
      <c r="H50" s="266"/>
    </row>
    <row r="51" spans="1:8" s="159" customFormat="1" x14ac:dyDescent="0.2">
      <c r="A51" s="136" t="s">
        <v>126</v>
      </c>
      <c r="B51" s="160" t="s">
        <v>114</v>
      </c>
      <c r="C51" s="161" t="s">
        <v>120</v>
      </c>
      <c r="D51" s="137" t="s">
        <v>119</v>
      </c>
      <c r="E51" s="162">
        <v>0.06</v>
      </c>
      <c r="H51" s="266"/>
    </row>
    <row r="52" spans="1:8" s="159" customFormat="1" x14ac:dyDescent="0.2">
      <c r="A52" s="136" t="s">
        <v>126</v>
      </c>
      <c r="B52" s="160" t="s">
        <v>114</v>
      </c>
      <c r="C52" s="161" t="s">
        <v>120</v>
      </c>
      <c r="D52" s="137" t="s">
        <v>117</v>
      </c>
      <c r="E52" s="162">
        <v>0</v>
      </c>
      <c r="H52" s="266"/>
    </row>
    <row r="53" spans="1:8" s="159" customFormat="1" x14ac:dyDescent="0.2">
      <c r="A53" s="136" t="s">
        <v>126</v>
      </c>
      <c r="B53" s="160" t="s">
        <v>114</v>
      </c>
      <c r="C53" s="161" t="s">
        <v>118</v>
      </c>
      <c r="D53" s="137" t="s">
        <v>125</v>
      </c>
      <c r="E53" s="162">
        <v>0.94</v>
      </c>
      <c r="H53" s="266"/>
    </row>
    <row r="54" spans="1:8" s="159" customFormat="1" x14ac:dyDescent="0.2">
      <c r="A54" s="136" t="s">
        <v>126</v>
      </c>
      <c r="B54" s="160" t="s">
        <v>114</v>
      </c>
      <c r="C54" s="161" t="s">
        <v>118</v>
      </c>
      <c r="D54" s="137" t="s">
        <v>119</v>
      </c>
      <c r="E54" s="162">
        <v>0.06</v>
      </c>
      <c r="H54" s="266"/>
    </row>
    <row r="55" spans="1:8" s="159" customFormat="1" x14ac:dyDescent="0.2">
      <c r="A55" s="136" t="s">
        <v>126</v>
      </c>
      <c r="B55" s="160" t="s">
        <v>114</v>
      </c>
      <c r="C55" s="161" t="s">
        <v>118</v>
      </c>
      <c r="D55" s="137" t="s">
        <v>117</v>
      </c>
      <c r="E55" s="162">
        <v>0</v>
      </c>
      <c r="H55" s="266"/>
    </row>
    <row r="56" spans="1:8" s="159" customFormat="1" x14ac:dyDescent="0.2">
      <c r="A56" s="136" t="s">
        <v>126</v>
      </c>
      <c r="B56" s="160" t="s">
        <v>113</v>
      </c>
      <c r="C56" s="161" t="s">
        <v>124</v>
      </c>
      <c r="D56" s="137" t="s">
        <v>125</v>
      </c>
      <c r="E56" s="162">
        <v>0.94</v>
      </c>
      <c r="H56" s="266"/>
    </row>
    <row r="57" spans="1:8" s="159" customFormat="1" x14ac:dyDescent="0.2">
      <c r="A57" s="136" t="s">
        <v>126</v>
      </c>
      <c r="B57" s="160" t="s">
        <v>113</v>
      </c>
      <c r="C57" s="161" t="s">
        <v>124</v>
      </c>
      <c r="D57" s="137" t="s">
        <v>119</v>
      </c>
      <c r="E57" s="162">
        <v>0.06</v>
      </c>
      <c r="H57" s="266"/>
    </row>
    <row r="58" spans="1:8" s="159" customFormat="1" x14ac:dyDescent="0.2">
      <c r="A58" s="136" t="s">
        <v>126</v>
      </c>
      <c r="B58" s="160" t="s">
        <v>113</v>
      </c>
      <c r="C58" s="161" t="s">
        <v>124</v>
      </c>
      <c r="D58" s="137" t="s">
        <v>117</v>
      </c>
      <c r="E58" s="162">
        <v>0</v>
      </c>
      <c r="H58" s="266"/>
    </row>
    <row r="59" spans="1:8" s="159" customFormat="1" x14ac:dyDescent="0.2">
      <c r="A59" s="136" t="s">
        <v>126</v>
      </c>
      <c r="B59" s="160" t="s">
        <v>113</v>
      </c>
      <c r="C59" s="161" t="s">
        <v>123</v>
      </c>
      <c r="D59" s="137" t="s">
        <v>125</v>
      </c>
      <c r="E59" s="162">
        <v>0.94</v>
      </c>
      <c r="H59" s="266"/>
    </row>
    <row r="60" spans="1:8" s="159" customFormat="1" x14ac:dyDescent="0.2">
      <c r="A60" s="136" t="s">
        <v>126</v>
      </c>
      <c r="B60" s="160" t="s">
        <v>113</v>
      </c>
      <c r="C60" s="161" t="s">
        <v>123</v>
      </c>
      <c r="D60" s="137" t="s">
        <v>119</v>
      </c>
      <c r="E60" s="162">
        <v>0.06</v>
      </c>
      <c r="H60" s="266"/>
    </row>
    <row r="61" spans="1:8" s="159" customFormat="1" x14ac:dyDescent="0.2">
      <c r="A61" s="136" t="s">
        <v>126</v>
      </c>
      <c r="B61" s="160" t="s">
        <v>113</v>
      </c>
      <c r="C61" s="161" t="s">
        <v>123</v>
      </c>
      <c r="D61" s="137" t="s">
        <v>117</v>
      </c>
      <c r="E61" s="162">
        <v>0</v>
      </c>
      <c r="H61" s="266"/>
    </row>
    <row r="62" spans="1:8" s="159" customFormat="1" x14ac:dyDescent="0.2">
      <c r="A62" s="136" t="s">
        <v>126</v>
      </c>
      <c r="B62" s="160" t="s">
        <v>113</v>
      </c>
      <c r="C62" s="161" t="s">
        <v>122</v>
      </c>
      <c r="D62" s="137" t="s">
        <v>125</v>
      </c>
      <c r="E62" s="162">
        <v>0.94</v>
      </c>
      <c r="H62" s="266"/>
    </row>
    <row r="63" spans="1:8" s="159" customFormat="1" x14ac:dyDescent="0.2">
      <c r="A63" s="136" t="s">
        <v>126</v>
      </c>
      <c r="B63" s="160" t="s">
        <v>113</v>
      </c>
      <c r="C63" s="161" t="s">
        <v>122</v>
      </c>
      <c r="D63" s="137" t="s">
        <v>119</v>
      </c>
      <c r="E63" s="162">
        <v>0.06</v>
      </c>
      <c r="H63" s="266"/>
    </row>
    <row r="64" spans="1:8" s="159" customFormat="1" x14ac:dyDescent="0.2">
      <c r="A64" s="136" t="s">
        <v>126</v>
      </c>
      <c r="B64" s="160" t="s">
        <v>113</v>
      </c>
      <c r="C64" s="161" t="s">
        <v>122</v>
      </c>
      <c r="D64" s="137" t="s">
        <v>117</v>
      </c>
      <c r="E64" s="162">
        <v>0</v>
      </c>
      <c r="H64" s="266"/>
    </row>
    <row r="65" spans="1:8" s="159" customFormat="1" x14ac:dyDescent="0.2">
      <c r="A65" s="136" t="s">
        <v>126</v>
      </c>
      <c r="B65" s="160" t="s">
        <v>113</v>
      </c>
      <c r="C65" s="161" t="s">
        <v>121</v>
      </c>
      <c r="D65" s="137" t="s">
        <v>125</v>
      </c>
      <c r="E65" s="162">
        <v>0.94</v>
      </c>
      <c r="H65" s="266"/>
    </row>
    <row r="66" spans="1:8" s="159" customFormat="1" x14ac:dyDescent="0.2">
      <c r="A66" s="136" t="s">
        <v>126</v>
      </c>
      <c r="B66" s="160" t="s">
        <v>113</v>
      </c>
      <c r="C66" s="161" t="s">
        <v>121</v>
      </c>
      <c r="D66" s="137" t="s">
        <v>119</v>
      </c>
      <c r="E66" s="162">
        <v>0.06</v>
      </c>
      <c r="H66" s="266"/>
    </row>
    <row r="67" spans="1:8" s="159" customFormat="1" x14ac:dyDescent="0.2">
      <c r="A67" s="136" t="s">
        <v>126</v>
      </c>
      <c r="B67" s="160" t="s">
        <v>113</v>
      </c>
      <c r="C67" s="161" t="s">
        <v>121</v>
      </c>
      <c r="D67" s="137" t="s">
        <v>117</v>
      </c>
      <c r="E67" s="162">
        <v>0</v>
      </c>
      <c r="H67" s="266"/>
    </row>
    <row r="68" spans="1:8" s="159" customFormat="1" x14ac:dyDescent="0.2">
      <c r="A68" s="136" t="s">
        <v>126</v>
      </c>
      <c r="B68" s="160" t="s">
        <v>113</v>
      </c>
      <c r="C68" s="161" t="s">
        <v>120</v>
      </c>
      <c r="D68" s="137" t="s">
        <v>125</v>
      </c>
      <c r="E68" s="162">
        <v>0.94</v>
      </c>
      <c r="H68" s="266"/>
    </row>
    <row r="69" spans="1:8" s="159" customFormat="1" x14ac:dyDescent="0.2">
      <c r="A69" s="136" t="s">
        <v>126</v>
      </c>
      <c r="B69" s="160" t="s">
        <v>113</v>
      </c>
      <c r="C69" s="161" t="s">
        <v>120</v>
      </c>
      <c r="D69" s="137" t="s">
        <v>119</v>
      </c>
      <c r="E69" s="162">
        <v>0.06</v>
      </c>
      <c r="H69" s="266"/>
    </row>
    <row r="70" spans="1:8" s="159" customFormat="1" x14ac:dyDescent="0.2">
      <c r="A70" s="136" t="s">
        <v>126</v>
      </c>
      <c r="B70" s="160" t="s">
        <v>113</v>
      </c>
      <c r="C70" s="161" t="s">
        <v>120</v>
      </c>
      <c r="D70" s="137" t="s">
        <v>117</v>
      </c>
      <c r="E70" s="162">
        <v>0</v>
      </c>
      <c r="H70" s="266"/>
    </row>
    <row r="71" spans="1:8" s="159" customFormat="1" x14ac:dyDescent="0.2">
      <c r="A71" s="136" t="s">
        <v>126</v>
      </c>
      <c r="B71" s="160" t="s">
        <v>113</v>
      </c>
      <c r="C71" s="161" t="s">
        <v>118</v>
      </c>
      <c r="D71" s="137" t="s">
        <v>125</v>
      </c>
      <c r="E71" s="162">
        <v>0.94</v>
      </c>
      <c r="H71" s="266"/>
    </row>
    <row r="72" spans="1:8" s="159" customFormat="1" x14ac:dyDescent="0.2">
      <c r="A72" s="136" t="s">
        <v>126</v>
      </c>
      <c r="B72" s="160" t="s">
        <v>113</v>
      </c>
      <c r="C72" s="161" t="s">
        <v>118</v>
      </c>
      <c r="D72" s="137" t="s">
        <v>119</v>
      </c>
      <c r="E72" s="162">
        <v>0.06</v>
      </c>
      <c r="H72" s="266"/>
    </row>
    <row r="73" spans="1:8" s="159" customFormat="1" x14ac:dyDescent="0.2">
      <c r="A73" s="136" t="s">
        <v>126</v>
      </c>
      <c r="B73" s="160" t="s">
        <v>113</v>
      </c>
      <c r="C73" s="161" t="s">
        <v>118</v>
      </c>
      <c r="D73" s="137" t="s">
        <v>117</v>
      </c>
      <c r="E73" s="162">
        <v>0</v>
      </c>
      <c r="H73" s="266"/>
    </row>
    <row r="74" spans="1:8" s="159" customFormat="1" x14ac:dyDescent="0.2">
      <c r="A74" s="136" t="s">
        <v>126</v>
      </c>
      <c r="B74" s="160" t="s">
        <v>111</v>
      </c>
      <c r="C74" s="161" t="s">
        <v>124</v>
      </c>
      <c r="D74" s="137" t="s">
        <v>125</v>
      </c>
      <c r="E74" s="162">
        <v>0.94</v>
      </c>
      <c r="H74" s="266"/>
    </row>
    <row r="75" spans="1:8" s="159" customFormat="1" x14ac:dyDescent="0.2">
      <c r="A75" s="136" t="s">
        <v>126</v>
      </c>
      <c r="B75" s="160" t="s">
        <v>111</v>
      </c>
      <c r="C75" s="161" t="s">
        <v>124</v>
      </c>
      <c r="D75" s="137" t="s">
        <v>119</v>
      </c>
      <c r="E75" s="162">
        <v>0.06</v>
      </c>
      <c r="H75" s="266"/>
    </row>
    <row r="76" spans="1:8" s="159" customFormat="1" x14ac:dyDescent="0.2">
      <c r="A76" s="136" t="s">
        <v>126</v>
      </c>
      <c r="B76" s="160" t="s">
        <v>111</v>
      </c>
      <c r="C76" s="161" t="s">
        <v>124</v>
      </c>
      <c r="D76" s="137" t="s">
        <v>117</v>
      </c>
      <c r="E76" s="162">
        <v>0</v>
      </c>
      <c r="H76" s="266"/>
    </row>
    <row r="77" spans="1:8" s="159" customFormat="1" x14ac:dyDescent="0.2">
      <c r="A77" s="136" t="s">
        <v>126</v>
      </c>
      <c r="B77" s="160" t="s">
        <v>111</v>
      </c>
      <c r="C77" s="161" t="s">
        <v>123</v>
      </c>
      <c r="D77" s="137" t="s">
        <v>125</v>
      </c>
      <c r="E77" s="162">
        <v>0.94</v>
      </c>
      <c r="H77" s="266"/>
    </row>
    <row r="78" spans="1:8" s="159" customFormat="1" x14ac:dyDescent="0.2">
      <c r="A78" s="136" t="s">
        <v>126</v>
      </c>
      <c r="B78" s="160" t="s">
        <v>111</v>
      </c>
      <c r="C78" s="161" t="s">
        <v>123</v>
      </c>
      <c r="D78" s="137" t="s">
        <v>119</v>
      </c>
      <c r="E78" s="162">
        <v>0.06</v>
      </c>
      <c r="H78" s="266"/>
    </row>
    <row r="79" spans="1:8" s="159" customFormat="1" x14ac:dyDescent="0.2">
      <c r="A79" s="136" t="s">
        <v>126</v>
      </c>
      <c r="B79" s="160" t="s">
        <v>111</v>
      </c>
      <c r="C79" s="161" t="s">
        <v>123</v>
      </c>
      <c r="D79" s="137" t="s">
        <v>117</v>
      </c>
      <c r="E79" s="162">
        <v>0</v>
      </c>
      <c r="H79" s="266"/>
    </row>
    <row r="80" spans="1:8" s="159" customFormat="1" x14ac:dyDescent="0.2">
      <c r="A80" s="136" t="s">
        <v>126</v>
      </c>
      <c r="B80" s="160" t="s">
        <v>111</v>
      </c>
      <c r="C80" s="161" t="s">
        <v>122</v>
      </c>
      <c r="D80" s="137" t="s">
        <v>125</v>
      </c>
      <c r="E80" s="162">
        <v>0.94</v>
      </c>
      <c r="H80" s="266"/>
    </row>
    <row r="81" spans="1:8" s="159" customFormat="1" x14ac:dyDescent="0.2">
      <c r="A81" s="136" t="s">
        <v>126</v>
      </c>
      <c r="B81" s="160" t="s">
        <v>111</v>
      </c>
      <c r="C81" s="161" t="s">
        <v>122</v>
      </c>
      <c r="D81" s="137" t="s">
        <v>119</v>
      </c>
      <c r="E81" s="162">
        <v>0.06</v>
      </c>
      <c r="H81" s="266"/>
    </row>
    <row r="82" spans="1:8" s="159" customFormat="1" x14ac:dyDescent="0.2">
      <c r="A82" s="136" t="s">
        <v>126</v>
      </c>
      <c r="B82" s="160" t="s">
        <v>111</v>
      </c>
      <c r="C82" s="161" t="s">
        <v>122</v>
      </c>
      <c r="D82" s="137" t="s">
        <v>117</v>
      </c>
      <c r="E82" s="162">
        <v>0</v>
      </c>
      <c r="H82" s="266"/>
    </row>
    <row r="83" spans="1:8" s="159" customFormat="1" x14ac:dyDescent="0.2">
      <c r="A83" s="136" t="s">
        <v>126</v>
      </c>
      <c r="B83" s="160" t="s">
        <v>111</v>
      </c>
      <c r="C83" s="161" t="s">
        <v>121</v>
      </c>
      <c r="D83" s="137" t="s">
        <v>125</v>
      </c>
      <c r="E83" s="162">
        <v>0.94</v>
      </c>
      <c r="H83" s="266"/>
    </row>
    <row r="84" spans="1:8" s="159" customFormat="1" x14ac:dyDescent="0.2">
      <c r="A84" s="136" t="s">
        <v>126</v>
      </c>
      <c r="B84" s="160" t="s">
        <v>111</v>
      </c>
      <c r="C84" s="161" t="s">
        <v>121</v>
      </c>
      <c r="D84" s="137" t="s">
        <v>119</v>
      </c>
      <c r="E84" s="162">
        <v>0.06</v>
      </c>
      <c r="H84" s="266"/>
    </row>
    <row r="85" spans="1:8" s="159" customFormat="1" x14ac:dyDescent="0.2">
      <c r="A85" s="136" t="s">
        <v>126</v>
      </c>
      <c r="B85" s="160" t="s">
        <v>111</v>
      </c>
      <c r="C85" s="161" t="s">
        <v>121</v>
      </c>
      <c r="D85" s="137" t="s">
        <v>117</v>
      </c>
      <c r="E85" s="162">
        <v>0</v>
      </c>
      <c r="H85" s="266"/>
    </row>
    <row r="86" spans="1:8" s="159" customFormat="1" x14ac:dyDescent="0.2">
      <c r="A86" s="136" t="s">
        <v>126</v>
      </c>
      <c r="B86" s="160" t="s">
        <v>111</v>
      </c>
      <c r="C86" s="161" t="s">
        <v>120</v>
      </c>
      <c r="D86" s="137" t="s">
        <v>125</v>
      </c>
      <c r="E86" s="162">
        <v>0.94</v>
      </c>
      <c r="H86" s="266"/>
    </row>
    <row r="87" spans="1:8" s="159" customFormat="1" x14ac:dyDescent="0.2">
      <c r="A87" s="136" t="s">
        <v>126</v>
      </c>
      <c r="B87" s="160" t="s">
        <v>111</v>
      </c>
      <c r="C87" s="161" t="s">
        <v>120</v>
      </c>
      <c r="D87" s="137" t="s">
        <v>119</v>
      </c>
      <c r="E87" s="162">
        <v>0.06</v>
      </c>
      <c r="H87" s="266"/>
    </row>
    <row r="88" spans="1:8" s="159" customFormat="1" x14ac:dyDescent="0.2">
      <c r="A88" s="136" t="s">
        <v>126</v>
      </c>
      <c r="B88" s="160" t="s">
        <v>111</v>
      </c>
      <c r="C88" s="161" t="s">
        <v>120</v>
      </c>
      <c r="D88" s="137" t="s">
        <v>117</v>
      </c>
      <c r="E88" s="162">
        <v>0</v>
      </c>
      <c r="H88" s="266"/>
    </row>
    <row r="89" spans="1:8" s="159" customFormat="1" x14ac:dyDescent="0.2">
      <c r="A89" s="136" t="s">
        <v>126</v>
      </c>
      <c r="B89" s="160" t="s">
        <v>111</v>
      </c>
      <c r="C89" s="161" t="s">
        <v>118</v>
      </c>
      <c r="D89" s="137" t="s">
        <v>125</v>
      </c>
      <c r="E89" s="162">
        <v>0.94</v>
      </c>
      <c r="H89" s="266"/>
    </row>
    <row r="90" spans="1:8" s="159" customFormat="1" x14ac:dyDescent="0.2">
      <c r="A90" s="136" t="s">
        <v>126</v>
      </c>
      <c r="B90" s="160" t="s">
        <v>111</v>
      </c>
      <c r="C90" s="161" t="s">
        <v>118</v>
      </c>
      <c r="D90" s="137" t="s">
        <v>119</v>
      </c>
      <c r="E90" s="162">
        <v>0.06</v>
      </c>
      <c r="H90" s="266"/>
    </row>
    <row r="91" spans="1:8" s="159" customFormat="1" x14ac:dyDescent="0.2">
      <c r="A91" s="136" t="s">
        <v>126</v>
      </c>
      <c r="B91" s="160" t="s">
        <v>111</v>
      </c>
      <c r="C91" s="161" t="s">
        <v>118</v>
      </c>
      <c r="D91" s="137" t="s">
        <v>117</v>
      </c>
      <c r="E91" s="162">
        <v>0</v>
      </c>
      <c r="F91" s="163"/>
      <c r="H91" s="266"/>
    </row>
    <row r="92" spans="1:8" s="148" customFormat="1" x14ac:dyDescent="0.2">
      <c r="A92" s="138" t="s">
        <v>134</v>
      </c>
      <c r="B92" s="144" t="s">
        <v>116</v>
      </c>
      <c r="C92" s="145" t="s">
        <v>110</v>
      </c>
      <c r="D92" s="139" t="s">
        <v>132</v>
      </c>
      <c r="E92" s="146">
        <v>0.96</v>
      </c>
      <c r="F92" s="147"/>
      <c r="H92" s="267" t="s">
        <v>318</v>
      </c>
    </row>
    <row r="93" spans="1:8" s="148" customFormat="1" x14ac:dyDescent="0.2">
      <c r="A93" s="138" t="s">
        <v>134</v>
      </c>
      <c r="B93" s="144" t="s">
        <v>116</v>
      </c>
      <c r="C93" s="145" t="s">
        <v>110</v>
      </c>
      <c r="D93" s="139" t="s">
        <v>131</v>
      </c>
      <c r="E93" s="146">
        <v>0</v>
      </c>
      <c r="F93" s="147"/>
      <c r="H93" s="267"/>
    </row>
    <row r="94" spans="1:8" s="148" customFormat="1" x14ac:dyDescent="0.2">
      <c r="A94" s="138" t="s">
        <v>134</v>
      </c>
      <c r="B94" s="144" t="s">
        <v>116</v>
      </c>
      <c r="C94" s="145" t="s">
        <v>110</v>
      </c>
      <c r="D94" s="139" t="s">
        <v>133</v>
      </c>
      <c r="E94" s="146">
        <v>0.04</v>
      </c>
      <c r="F94" s="147"/>
      <c r="H94" s="267"/>
    </row>
    <row r="95" spans="1:8" s="148" customFormat="1" x14ac:dyDescent="0.2">
      <c r="A95" s="138" t="s">
        <v>134</v>
      </c>
      <c r="B95" s="144" t="s">
        <v>116</v>
      </c>
      <c r="C95" s="145" t="s">
        <v>110</v>
      </c>
      <c r="D95" s="139" t="s">
        <v>117</v>
      </c>
      <c r="E95" s="146">
        <v>0</v>
      </c>
      <c r="F95" s="147"/>
      <c r="H95" s="267"/>
    </row>
    <row r="96" spans="1:8" s="148" customFormat="1" x14ac:dyDescent="0.2">
      <c r="A96" s="138" t="s">
        <v>134</v>
      </c>
      <c r="B96" s="144" t="s">
        <v>115</v>
      </c>
      <c r="C96" s="145" t="s">
        <v>110</v>
      </c>
      <c r="D96" s="139" t="s">
        <v>132</v>
      </c>
      <c r="E96" s="146">
        <v>0.96</v>
      </c>
      <c r="F96" s="147"/>
      <c r="H96" s="267"/>
    </row>
    <row r="97" spans="1:8" s="148" customFormat="1" x14ac:dyDescent="0.2">
      <c r="A97" s="138" t="s">
        <v>134</v>
      </c>
      <c r="B97" s="144" t="s">
        <v>115</v>
      </c>
      <c r="C97" s="145" t="s">
        <v>110</v>
      </c>
      <c r="D97" s="139" t="s">
        <v>131</v>
      </c>
      <c r="E97" s="146">
        <v>0</v>
      </c>
      <c r="F97" s="147"/>
      <c r="H97" s="267"/>
    </row>
    <row r="98" spans="1:8" s="148" customFormat="1" x14ac:dyDescent="0.2">
      <c r="A98" s="138" t="s">
        <v>134</v>
      </c>
      <c r="B98" s="144" t="s">
        <v>115</v>
      </c>
      <c r="C98" s="145" t="s">
        <v>110</v>
      </c>
      <c r="D98" s="139" t="s">
        <v>133</v>
      </c>
      <c r="E98" s="146">
        <v>0.04</v>
      </c>
      <c r="F98" s="147"/>
      <c r="H98" s="267"/>
    </row>
    <row r="99" spans="1:8" s="148" customFormat="1" x14ac:dyDescent="0.2">
      <c r="A99" s="138" t="s">
        <v>134</v>
      </c>
      <c r="B99" s="144" t="s">
        <v>115</v>
      </c>
      <c r="C99" s="145" t="s">
        <v>110</v>
      </c>
      <c r="D99" s="139" t="s">
        <v>117</v>
      </c>
      <c r="E99" s="146">
        <v>0</v>
      </c>
      <c r="F99" s="147"/>
      <c r="H99" s="267"/>
    </row>
    <row r="100" spans="1:8" s="148" customFormat="1" x14ac:dyDescent="0.2">
      <c r="A100" s="138" t="s">
        <v>134</v>
      </c>
      <c r="B100" s="144" t="s">
        <v>114</v>
      </c>
      <c r="C100" s="145" t="s">
        <v>110</v>
      </c>
      <c r="D100" s="139" t="s">
        <v>132</v>
      </c>
      <c r="E100" s="146">
        <v>0.96</v>
      </c>
      <c r="F100" s="147"/>
      <c r="H100" s="267"/>
    </row>
    <row r="101" spans="1:8" s="148" customFormat="1" x14ac:dyDescent="0.2">
      <c r="A101" s="138" t="s">
        <v>134</v>
      </c>
      <c r="B101" s="144" t="s">
        <v>114</v>
      </c>
      <c r="C101" s="145" t="s">
        <v>110</v>
      </c>
      <c r="D101" s="139" t="s">
        <v>131</v>
      </c>
      <c r="E101" s="146">
        <v>0</v>
      </c>
      <c r="F101" s="147"/>
      <c r="H101" s="267"/>
    </row>
    <row r="102" spans="1:8" s="148" customFormat="1" x14ac:dyDescent="0.2">
      <c r="A102" s="138" t="s">
        <v>134</v>
      </c>
      <c r="B102" s="144" t="s">
        <v>114</v>
      </c>
      <c r="C102" s="145" t="s">
        <v>110</v>
      </c>
      <c r="D102" s="139" t="s">
        <v>133</v>
      </c>
      <c r="E102" s="146">
        <v>0.04</v>
      </c>
      <c r="F102" s="147"/>
      <c r="H102" s="267"/>
    </row>
    <row r="103" spans="1:8" s="148" customFormat="1" x14ac:dyDescent="0.2">
      <c r="A103" s="138" t="s">
        <v>134</v>
      </c>
      <c r="B103" s="144" t="s">
        <v>114</v>
      </c>
      <c r="C103" s="145" t="s">
        <v>110</v>
      </c>
      <c r="D103" s="139" t="s">
        <v>117</v>
      </c>
      <c r="E103" s="146">
        <v>0</v>
      </c>
      <c r="F103" s="147"/>
      <c r="H103" s="267"/>
    </row>
    <row r="104" spans="1:8" s="148" customFormat="1" x14ac:dyDescent="0.2">
      <c r="A104" s="138" t="s">
        <v>134</v>
      </c>
      <c r="B104" s="144" t="s">
        <v>113</v>
      </c>
      <c r="C104" s="145" t="s">
        <v>110</v>
      </c>
      <c r="D104" s="139" t="s">
        <v>132</v>
      </c>
      <c r="E104" s="146">
        <v>0.3</v>
      </c>
      <c r="F104" s="147"/>
      <c r="H104" s="267"/>
    </row>
    <row r="105" spans="1:8" s="148" customFormat="1" x14ac:dyDescent="0.2">
      <c r="A105" s="138" t="s">
        <v>134</v>
      </c>
      <c r="B105" s="144" t="s">
        <v>113</v>
      </c>
      <c r="C105" s="145" t="s">
        <v>110</v>
      </c>
      <c r="D105" s="139" t="s">
        <v>131</v>
      </c>
      <c r="E105" s="146">
        <v>0</v>
      </c>
      <c r="F105" s="147"/>
      <c r="H105" s="267"/>
    </row>
    <row r="106" spans="1:8" s="148" customFormat="1" x14ac:dyDescent="0.2">
      <c r="A106" s="138" t="s">
        <v>134</v>
      </c>
      <c r="B106" s="144" t="s">
        <v>113</v>
      </c>
      <c r="C106" s="145" t="s">
        <v>110</v>
      </c>
      <c r="D106" s="139" t="s">
        <v>133</v>
      </c>
      <c r="E106" s="146">
        <v>0.7</v>
      </c>
      <c r="F106" s="147"/>
      <c r="H106" s="267"/>
    </row>
    <row r="107" spans="1:8" s="148" customFormat="1" x14ac:dyDescent="0.2">
      <c r="A107" s="138" t="s">
        <v>134</v>
      </c>
      <c r="B107" s="144" t="s">
        <v>113</v>
      </c>
      <c r="C107" s="145" t="s">
        <v>110</v>
      </c>
      <c r="D107" s="139" t="s">
        <v>117</v>
      </c>
      <c r="E107" s="146">
        <v>0</v>
      </c>
      <c r="F107" s="147"/>
      <c r="H107" s="267"/>
    </row>
    <row r="108" spans="1:8" s="148" customFormat="1" x14ac:dyDescent="0.2">
      <c r="A108" s="138" t="s">
        <v>134</v>
      </c>
      <c r="B108" s="144" t="s">
        <v>111</v>
      </c>
      <c r="C108" s="145" t="s">
        <v>110</v>
      </c>
      <c r="D108" s="139" t="s">
        <v>132</v>
      </c>
      <c r="E108" s="146">
        <v>0</v>
      </c>
      <c r="F108" s="147"/>
      <c r="H108" s="267"/>
    </row>
    <row r="109" spans="1:8" s="148" customFormat="1" x14ac:dyDescent="0.2">
      <c r="A109" s="138" t="s">
        <v>134</v>
      </c>
      <c r="B109" s="144" t="s">
        <v>111</v>
      </c>
      <c r="C109" s="145" t="s">
        <v>110</v>
      </c>
      <c r="D109" s="139" t="s">
        <v>131</v>
      </c>
      <c r="E109" s="146">
        <v>0</v>
      </c>
      <c r="F109" s="147"/>
      <c r="H109" s="267"/>
    </row>
    <row r="110" spans="1:8" s="148" customFormat="1" x14ac:dyDescent="0.2">
      <c r="A110" s="138" t="s">
        <v>134</v>
      </c>
      <c r="B110" s="144" t="s">
        <v>111</v>
      </c>
      <c r="C110" s="145" t="s">
        <v>110</v>
      </c>
      <c r="D110" s="139" t="s">
        <v>133</v>
      </c>
      <c r="E110" s="146">
        <v>1</v>
      </c>
      <c r="F110" s="147"/>
      <c r="H110" s="267"/>
    </row>
    <row r="111" spans="1:8" s="148" customFormat="1" x14ac:dyDescent="0.2">
      <c r="A111" s="138" t="s">
        <v>134</v>
      </c>
      <c r="B111" s="144" t="s">
        <v>111</v>
      </c>
      <c r="C111" s="145" t="s">
        <v>110</v>
      </c>
      <c r="D111" s="139" t="s">
        <v>117</v>
      </c>
      <c r="E111" s="146">
        <v>0</v>
      </c>
      <c r="F111" s="147"/>
      <c r="H111" s="267"/>
    </row>
    <row r="112" spans="1:8" s="167" customFormat="1" x14ac:dyDescent="0.2">
      <c r="A112" s="140" t="s">
        <v>127</v>
      </c>
      <c r="B112" s="164" t="s">
        <v>116</v>
      </c>
      <c r="C112" s="165" t="s">
        <v>110</v>
      </c>
      <c r="D112" s="141" t="s">
        <v>132</v>
      </c>
      <c r="E112" s="166">
        <v>0.7</v>
      </c>
      <c r="H112" s="268" t="s">
        <v>306</v>
      </c>
    </row>
    <row r="113" spans="1:8" s="167" customFormat="1" x14ac:dyDescent="0.2">
      <c r="A113" s="140" t="s">
        <v>127</v>
      </c>
      <c r="B113" s="164" t="s">
        <v>116</v>
      </c>
      <c r="C113" s="165" t="s">
        <v>110</v>
      </c>
      <c r="D113" s="141" t="s">
        <v>131</v>
      </c>
      <c r="E113" s="166">
        <v>0</v>
      </c>
      <c r="H113" s="268"/>
    </row>
    <row r="114" spans="1:8" s="167" customFormat="1" x14ac:dyDescent="0.2">
      <c r="A114" s="140" t="s">
        <v>127</v>
      </c>
      <c r="B114" s="164" t="s">
        <v>116</v>
      </c>
      <c r="C114" s="165" t="s">
        <v>110</v>
      </c>
      <c r="D114" s="141" t="s">
        <v>130</v>
      </c>
      <c r="E114" s="166">
        <v>0</v>
      </c>
      <c r="H114" s="268"/>
    </row>
    <row r="115" spans="1:8" s="167" customFormat="1" x14ac:dyDescent="0.2">
      <c r="A115" s="140" t="s">
        <v>127</v>
      </c>
      <c r="B115" s="164" t="s">
        <v>116</v>
      </c>
      <c r="C115" s="165" t="s">
        <v>110</v>
      </c>
      <c r="D115" s="141" t="s">
        <v>129</v>
      </c>
      <c r="E115" s="166">
        <v>0.3</v>
      </c>
      <c r="H115" s="268"/>
    </row>
    <row r="116" spans="1:8" s="167" customFormat="1" x14ac:dyDescent="0.2">
      <c r="A116" s="140" t="s">
        <v>127</v>
      </c>
      <c r="B116" s="164" t="s">
        <v>116</v>
      </c>
      <c r="C116" s="165" t="s">
        <v>110</v>
      </c>
      <c r="D116" s="141" t="s">
        <v>128</v>
      </c>
      <c r="E116" s="166">
        <v>0</v>
      </c>
      <c r="H116" s="268"/>
    </row>
    <row r="117" spans="1:8" s="167" customFormat="1" x14ac:dyDescent="0.2">
      <c r="A117" s="140" t="s">
        <v>127</v>
      </c>
      <c r="B117" s="164" t="s">
        <v>116</v>
      </c>
      <c r="C117" s="165" t="s">
        <v>110</v>
      </c>
      <c r="D117" s="141" t="s">
        <v>117</v>
      </c>
      <c r="E117" s="166">
        <v>0</v>
      </c>
      <c r="H117" s="268"/>
    </row>
    <row r="118" spans="1:8" s="167" customFormat="1" x14ac:dyDescent="0.2">
      <c r="A118" s="140" t="s">
        <v>127</v>
      </c>
      <c r="B118" s="164" t="s">
        <v>115</v>
      </c>
      <c r="C118" s="165" t="s">
        <v>110</v>
      </c>
      <c r="D118" s="141" t="s">
        <v>132</v>
      </c>
      <c r="E118" s="166">
        <v>0.6</v>
      </c>
      <c r="H118" s="268"/>
    </row>
    <row r="119" spans="1:8" s="167" customFormat="1" x14ac:dyDescent="0.2">
      <c r="A119" s="140" t="s">
        <v>127</v>
      </c>
      <c r="B119" s="164" t="s">
        <v>115</v>
      </c>
      <c r="C119" s="165" t="s">
        <v>110</v>
      </c>
      <c r="D119" s="141" t="s">
        <v>131</v>
      </c>
      <c r="E119" s="166">
        <v>0</v>
      </c>
      <c r="H119" s="268"/>
    </row>
    <row r="120" spans="1:8" s="167" customFormat="1" x14ac:dyDescent="0.2">
      <c r="A120" s="140" t="s">
        <v>127</v>
      </c>
      <c r="B120" s="164" t="s">
        <v>115</v>
      </c>
      <c r="C120" s="165" t="s">
        <v>110</v>
      </c>
      <c r="D120" s="141" t="s">
        <v>130</v>
      </c>
      <c r="E120" s="166">
        <v>0</v>
      </c>
      <c r="H120" s="268"/>
    </row>
    <row r="121" spans="1:8" s="167" customFormat="1" x14ac:dyDescent="0.2">
      <c r="A121" s="140" t="s">
        <v>127</v>
      </c>
      <c r="B121" s="164" t="s">
        <v>115</v>
      </c>
      <c r="C121" s="165" t="s">
        <v>110</v>
      </c>
      <c r="D121" s="141" t="s">
        <v>129</v>
      </c>
      <c r="E121" s="166">
        <v>0.4</v>
      </c>
      <c r="H121" s="268"/>
    </row>
    <row r="122" spans="1:8" s="167" customFormat="1" x14ac:dyDescent="0.2">
      <c r="A122" s="140" t="s">
        <v>127</v>
      </c>
      <c r="B122" s="164" t="s">
        <v>115</v>
      </c>
      <c r="C122" s="165" t="s">
        <v>110</v>
      </c>
      <c r="D122" s="141" t="s">
        <v>128</v>
      </c>
      <c r="E122" s="166">
        <v>0</v>
      </c>
      <c r="H122" s="268"/>
    </row>
    <row r="123" spans="1:8" s="167" customFormat="1" x14ac:dyDescent="0.2">
      <c r="A123" s="140" t="s">
        <v>127</v>
      </c>
      <c r="B123" s="164" t="s">
        <v>115</v>
      </c>
      <c r="C123" s="165" t="s">
        <v>110</v>
      </c>
      <c r="D123" s="141" t="s">
        <v>117</v>
      </c>
      <c r="E123" s="166">
        <v>0</v>
      </c>
      <c r="H123" s="268"/>
    </row>
    <row r="124" spans="1:8" s="167" customFormat="1" x14ac:dyDescent="0.2">
      <c r="A124" s="140" t="s">
        <v>127</v>
      </c>
      <c r="B124" s="164" t="s">
        <v>114</v>
      </c>
      <c r="C124" s="165" t="s">
        <v>110</v>
      </c>
      <c r="D124" s="141" t="s">
        <v>132</v>
      </c>
      <c r="E124" s="166">
        <v>0.42</v>
      </c>
      <c r="H124" s="268"/>
    </row>
    <row r="125" spans="1:8" s="167" customFormat="1" x14ac:dyDescent="0.2">
      <c r="A125" s="140" t="s">
        <v>127</v>
      </c>
      <c r="B125" s="164" t="s">
        <v>114</v>
      </c>
      <c r="C125" s="165" t="s">
        <v>110</v>
      </c>
      <c r="D125" s="141" t="s">
        <v>131</v>
      </c>
      <c r="E125" s="166">
        <v>0</v>
      </c>
      <c r="H125" s="268"/>
    </row>
    <row r="126" spans="1:8" s="167" customFormat="1" x14ac:dyDescent="0.2">
      <c r="A126" s="140" t="s">
        <v>127</v>
      </c>
      <c r="B126" s="164" t="s">
        <v>114</v>
      </c>
      <c r="C126" s="165" t="s">
        <v>110</v>
      </c>
      <c r="D126" s="141" t="s">
        <v>130</v>
      </c>
      <c r="E126" s="166">
        <v>0</v>
      </c>
      <c r="H126" s="268"/>
    </row>
    <row r="127" spans="1:8" s="167" customFormat="1" x14ac:dyDescent="0.2">
      <c r="A127" s="140" t="s">
        <v>127</v>
      </c>
      <c r="B127" s="164" t="s">
        <v>114</v>
      </c>
      <c r="C127" s="165" t="s">
        <v>110</v>
      </c>
      <c r="D127" s="141" t="s">
        <v>129</v>
      </c>
      <c r="E127" s="166">
        <v>0.57999999999999996</v>
      </c>
      <c r="H127" s="268"/>
    </row>
    <row r="128" spans="1:8" s="167" customFormat="1" x14ac:dyDescent="0.2">
      <c r="A128" s="140" t="s">
        <v>127</v>
      </c>
      <c r="B128" s="164" t="s">
        <v>114</v>
      </c>
      <c r="C128" s="165" t="s">
        <v>110</v>
      </c>
      <c r="D128" s="141" t="s">
        <v>128</v>
      </c>
      <c r="E128" s="166">
        <v>0</v>
      </c>
      <c r="H128" s="268"/>
    </row>
    <row r="129" spans="1:8" s="167" customFormat="1" x14ac:dyDescent="0.2">
      <c r="A129" s="140" t="s">
        <v>127</v>
      </c>
      <c r="B129" s="164" t="s">
        <v>114</v>
      </c>
      <c r="C129" s="165" t="s">
        <v>110</v>
      </c>
      <c r="D129" s="141" t="s">
        <v>117</v>
      </c>
      <c r="E129" s="166">
        <v>0</v>
      </c>
      <c r="H129" s="268"/>
    </row>
    <row r="130" spans="1:8" s="167" customFormat="1" x14ac:dyDescent="0.2">
      <c r="A130" s="140" t="s">
        <v>127</v>
      </c>
      <c r="B130" s="164" t="s">
        <v>113</v>
      </c>
      <c r="C130" s="165" t="s">
        <v>110</v>
      </c>
      <c r="D130" s="141" t="s">
        <v>132</v>
      </c>
      <c r="E130" s="166">
        <v>0.05</v>
      </c>
      <c r="H130" s="268"/>
    </row>
    <row r="131" spans="1:8" s="167" customFormat="1" x14ac:dyDescent="0.2">
      <c r="A131" s="140" t="s">
        <v>127</v>
      </c>
      <c r="B131" s="164" t="s">
        <v>113</v>
      </c>
      <c r="C131" s="165" t="s">
        <v>110</v>
      </c>
      <c r="D131" s="141" t="s">
        <v>131</v>
      </c>
      <c r="E131" s="166">
        <v>0</v>
      </c>
      <c r="H131" s="268"/>
    </row>
    <row r="132" spans="1:8" s="167" customFormat="1" x14ac:dyDescent="0.2">
      <c r="A132" s="140" t="s">
        <v>127</v>
      </c>
      <c r="B132" s="164" t="s">
        <v>113</v>
      </c>
      <c r="C132" s="165" t="s">
        <v>110</v>
      </c>
      <c r="D132" s="141" t="s">
        <v>130</v>
      </c>
      <c r="E132" s="166">
        <v>0</v>
      </c>
      <c r="H132" s="268"/>
    </row>
    <row r="133" spans="1:8" s="167" customFormat="1" x14ac:dyDescent="0.2">
      <c r="A133" s="140" t="s">
        <v>127</v>
      </c>
      <c r="B133" s="164" t="s">
        <v>113</v>
      </c>
      <c r="C133" s="165" t="s">
        <v>110</v>
      </c>
      <c r="D133" s="141" t="s">
        <v>129</v>
      </c>
      <c r="E133" s="166">
        <v>0.95</v>
      </c>
      <c r="H133" s="268"/>
    </row>
    <row r="134" spans="1:8" s="167" customFormat="1" x14ac:dyDescent="0.2">
      <c r="A134" s="140" t="s">
        <v>127</v>
      </c>
      <c r="B134" s="164" t="s">
        <v>113</v>
      </c>
      <c r="C134" s="165" t="s">
        <v>110</v>
      </c>
      <c r="D134" s="141" t="s">
        <v>128</v>
      </c>
      <c r="E134" s="166">
        <v>0</v>
      </c>
      <c r="H134" s="268"/>
    </row>
    <row r="135" spans="1:8" s="167" customFormat="1" x14ac:dyDescent="0.2">
      <c r="A135" s="140" t="s">
        <v>127</v>
      </c>
      <c r="B135" s="164" t="s">
        <v>113</v>
      </c>
      <c r="C135" s="165" t="s">
        <v>110</v>
      </c>
      <c r="D135" s="141" t="s">
        <v>117</v>
      </c>
      <c r="E135" s="166">
        <v>0</v>
      </c>
      <c r="H135" s="268"/>
    </row>
    <row r="136" spans="1:8" s="167" customFormat="1" x14ac:dyDescent="0.2">
      <c r="A136" s="140" t="s">
        <v>127</v>
      </c>
      <c r="B136" s="164" t="s">
        <v>111</v>
      </c>
      <c r="C136" s="165" t="s">
        <v>110</v>
      </c>
      <c r="D136" s="141" t="s">
        <v>132</v>
      </c>
      <c r="E136" s="166">
        <v>0</v>
      </c>
      <c r="H136" s="268"/>
    </row>
    <row r="137" spans="1:8" s="167" customFormat="1" x14ac:dyDescent="0.2">
      <c r="A137" s="140" t="s">
        <v>127</v>
      </c>
      <c r="B137" s="164" t="s">
        <v>111</v>
      </c>
      <c r="C137" s="165" t="s">
        <v>110</v>
      </c>
      <c r="D137" s="141" t="s">
        <v>131</v>
      </c>
      <c r="E137" s="166">
        <v>0</v>
      </c>
      <c r="H137" s="268"/>
    </row>
    <row r="138" spans="1:8" s="167" customFormat="1" x14ac:dyDescent="0.2">
      <c r="A138" s="140" t="s">
        <v>127</v>
      </c>
      <c r="B138" s="164" t="s">
        <v>111</v>
      </c>
      <c r="C138" s="165" t="s">
        <v>110</v>
      </c>
      <c r="D138" s="141" t="s">
        <v>130</v>
      </c>
      <c r="E138" s="166">
        <v>0</v>
      </c>
      <c r="H138" s="268"/>
    </row>
    <row r="139" spans="1:8" s="167" customFormat="1" x14ac:dyDescent="0.2">
      <c r="A139" s="140" t="s">
        <v>127</v>
      </c>
      <c r="B139" s="164" t="s">
        <v>111</v>
      </c>
      <c r="C139" s="165" t="s">
        <v>110</v>
      </c>
      <c r="D139" s="141" t="s">
        <v>129</v>
      </c>
      <c r="E139" s="166">
        <v>0.05</v>
      </c>
      <c r="H139" s="268"/>
    </row>
    <row r="140" spans="1:8" s="167" customFormat="1" x14ac:dyDescent="0.2">
      <c r="A140" s="140" t="s">
        <v>127</v>
      </c>
      <c r="B140" s="164" t="s">
        <v>111</v>
      </c>
      <c r="C140" s="165" t="s">
        <v>110</v>
      </c>
      <c r="D140" s="141" t="s">
        <v>128</v>
      </c>
      <c r="E140" s="166">
        <v>0.95</v>
      </c>
      <c r="H140" s="268"/>
    </row>
    <row r="141" spans="1:8" s="167" customFormat="1" x14ac:dyDescent="0.2">
      <c r="A141" s="140" t="s">
        <v>127</v>
      </c>
      <c r="B141" s="164" t="s">
        <v>111</v>
      </c>
      <c r="C141" s="165" t="s">
        <v>110</v>
      </c>
      <c r="D141" s="141" t="s">
        <v>117</v>
      </c>
      <c r="E141" s="166">
        <v>0</v>
      </c>
      <c r="H141" s="268"/>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33" t="s">
        <v>147</v>
      </c>
      <c r="B2" s="133" t="s">
        <v>124</v>
      </c>
      <c r="C2" s="134">
        <v>0.96499999999999997</v>
      </c>
      <c r="D2" s="64"/>
      <c r="E2" s="269" t="s">
        <v>317</v>
      </c>
    </row>
    <row r="3" spans="1:5" x14ac:dyDescent="0.2">
      <c r="A3" s="136" t="s">
        <v>147</v>
      </c>
      <c r="B3" s="136" t="s">
        <v>123</v>
      </c>
      <c r="C3" s="137">
        <v>0.96499999999999997</v>
      </c>
      <c r="D3" s="64"/>
      <c r="E3" s="269"/>
    </row>
    <row r="4" spans="1:5" x14ac:dyDescent="0.2">
      <c r="A4" s="136" t="s">
        <v>147</v>
      </c>
      <c r="B4" s="136" t="s">
        <v>122</v>
      </c>
      <c r="C4" s="137">
        <v>0.5</v>
      </c>
      <c r="D4" s="64"/>
      <c r="E4" s="269"/>
    </row>
    <row r="5" spans="1:5" x14ac:dyDescent="0.2">
      <c r="A5" s="136" t="s">
        <v>147</v>
      </c>
      <c r="B5" s="136" t="s">
        <v>121</v>
      </c>
      <c r="C5" s="137">
        <v>0</v>
      </c>
      <c r="D5" s="64"/>
      <c r="E5" s="269"/>
    </row>
    <row r="6" spans="1:5" x14ac:dyDescent="0.2">
      <c r="A6" s="138" t="s">
        <v>146</v>
      </c>
      <c r="B6" s="138" t="s">
        <v>124</v>
      </c>
      <c r="C6" s="139">
        <v>0.96499999999999997</v>
      </c>
      <c r="D6" s="64"/>
      <c r="E6" s="269"/>
    </row>
    <row r="7" spans="1:5" x14ac:dyDescent="0.2">
      <c r="A7" s="138" t="s">
        <v>146</v>
      </c>
      <c r="B7" s="138" t="s">
        <v>123</v>
      </c>
      <c r="C7" s="139">
        <v>0.96499999999999997</v>
      </c>
      <c r="D7" s="64"/>
      <c r="E7" s="269"/>
    </row>
    <row r="8" spans="1:5" x14ac:dyDescent="0.2">
      <c r="A8" s="138" t="s">
        <v>146</v>
      </c>
      <c r="B8" s="138" t="s">
        <v>122</v>
      </c>
      <c r="C8" s="139">
        <v>0.5</v>
      </c>
      <c r="D8" s="64"/>
      <c r="E8" s="269"/>
    </row>
    <row r="9" spans="1:5" x14ac:dyDescent="0.2">
      <c r="A9" s="138" t="s">
        <v>146</v>
      </c>
      <c r="B9" s="138" t="s">
        <v>121</v>
      </c>
      <c r="C9" s="139">
        <v>0</v>
      </c>
      <c r="D9" s="64"/>
      <c r="E9" s="269"/>
    </row>
    <row r="10" spans="1:5" x14ac:dyDescent="0.2">
      <c r="A10" s="140" t="s">
        <v>145</v>
      </c>
      <c r="B10" s="140" t="s">
        <v>124</v>
      </c>
      <c r="C10" s="141">
        <v>0.96499999999999997</v>
      </c>
      <c r="D10" s="64"/>
      <c r="E10" s="269"/>
    </row>
    <row r="11" spans="1:5" x14ac:dyDescent="0.2">
      <c r="A11" s="140" t="s">
        <v>145</v>
      </c>
      <c r="B11" s="140" t="s">
        <v>123</v>
      </c>
      <c r="C11" s="141">
        <v>0.96499999999999997</v>
      </c>
      <c r="D11" s="64"/>
      <c r="E11" s="269"/>
    </row>
    <row r="12" spans="1:5" x14ac:dyDescent="0.2">
      <c r="A12" s="140" t="s">
        <v>145</v>
      </c>
      <c r="B12" s="140" t="s">
        <v>122</v>
      </c>
      <c r="C12" s="141">
        <v>0.96499999999999997</v>
      </c>
      <c r="D12" s="64"/>
      <c r="E12" s="269"/>
    </row>
    <row r="13" spans="1:5" x14ac:dyDescent="0.2">
      <c r="A13" s="140" t="s">
        <v>145</v>
      </c>
      <c r="B13" s="140" t="s">
        <v>121</v>
      </c>
      <c r="C13" s="141">
        <v>0</v>
      </c>
      <c r="D13" s="64"/>
      <c r="E13" s="269"/>
    </row>
    <row r="18" spans="2:2" x14ac:dyDescent="0.2">
      <c r="B18" s="64"/>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4" bestFit="1" customWidth="1"/>
    <col min="2" max="5" width="10.83203125" style="64"/>
    <col min="6" max="6" width="112.6640625" style="64" bestFit="1" customWidth="1"/>
    <col min="7" max="16384" width="10.83203125" style="64"/>
  </cols>
  <sheetData>
    <row r="1" spans="1:6" ht="17" thickBot="1" x14ac:dyDescent="0.25">
      <c r="A1" s="150" t="s">
        <v>139</v>
      </c>
      <c r="B1" s="153" t="s">
        <v>138</v>
      </c>
      <c r="C1" s="168" t="s">
        <v>137</v>
      </c>
      <c r="D1" s="153" t="s">
        <v>144</v>
      </c>
      <c r="F1" s="155" t="s">
        <v>151</v>
      </c>
    </row>
    <row r="2" spans="1:6" s="159" customFormat="1" x14ac:dyDescent="0.2">
      <c r="A2" s="133" t="s">
        <v>112</v>
      </c>
      <c r="B2" s="134" t="s">
        <v>114</v>
      </c>
      <c r="C2" s="169" t="s">
        <v>110</v>
      </c>
      <c r="D2" s="134">
        <v>0</v>
      </c>
      <c r="F2" s="170" t="s">
        <v>240</v>
      </c>
    </row>
    <row r="3" spans="1:6" s="159" customFormat="1" x14ac:dyDescent="0.2">
      <c r="A3" s="136" t="s">
        <v>112</v>
      </c>
      <c r="B3" s="137" t="s">
        <v>113</v>
      </c>
      <c r="C3" s="171" t="s">
        <v>110</v>
      </c>
      <c r="D3" s="137">
        <v>0.95</v>
      </c>
      <c r="F3" s="172" t="s">
        <v>241</v>
      </c>
    </row>
    <row r="4" spans="1:6" s="159" customFormat="1" x14ac:dyDescent="0.2">
      <c r="A4" s="136" t="s">
        <v>112</v>
      </c>
      <c r="B4" s="137" t="s">
        <v>111</v>
      </c>
      <c r="C4" s="171" t="s">
        <v>110</v>
      </c>
      <c r="D4" s="137">
        <v>0</v>
      </c>
      <c r="F4" s="172" t="s">
        <v>242</v>
      </c>
    </row>
    <row r="5" spans="1:6" s="148" customFormat="1" ht="34" x14ac:dyDescent="0.2">
      <c r="A5" s="138" t="s">
        <v>109</v>
      </c>
      <c r="B5" s="139" t="s">
        <v>111</v>
      </c>
      <c r="C5" s="173" t="s">
        <v>110</v>
      </c>
      <c r="D5" s="139">
        <v>0.8</v>
      </c>
      <c r="F5" s="149" t="s">
        <v>249</v>
      </c>
    </row>
    <row r="6" spans="1:6" x14ac:dyDescent="0.2">
      <c r="F6" s="14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4" zoomScale="87" workbookViewId="0">
      <selection activeCell="G9" sqref="G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87" t="s">
        <v>152</v>
      </c>
      <c r="C2" s="273" t="s">
        <v>8</v>
      </c>
      <c r="D2" s="274"/>
      <c r="E2" s="274"/>
      <c r="F2" s="289"/>
      <c r="G2" s="285" t="s">
        <v>9</v>
      </c>
      <c r="H2" s="287" t="s">
        <v>263</v>
      </c>
      <c r="I2" s="273" t="s">
        <v>10</v>
      </c>
      <c r="J2" s="274"/>
      <c r="K2" s="275"/>
    </row>
    <row r="3" spans="1:21" ht="17" customHeight="1" thickBot="1" x14ac:dyDescent="0.25">
      <c r="B3" s="288"/>
      <c r="C3" s="276"/>
      <c r="D3" s="277"/>
      <c r="E3" s="277"/>
      <c r="F3" s="290"/>
      <c r="G3" s="286"/>
      <c r="H3" s="288"/>
      <c r="I3" s="276"/>
      <c r="J3" s="277"/>
      <c r="K3" s="278"/>
    </row>
    <row r="4" spans="1:21" s="44" customFormat="1" ht="270" x14ac:dyDescent="0.2">
      <c r="A4" s="46"/>
      <c r="B4" s="174" t="s">
        <v>153</v>
      </c>
      <c r="C4" s="291" t="s">
        <v>321</v>
      </c>
      <c r="D4" s="292"/>
      <c r="E4" s="292"/>
      <c r="F4" s="293"/>
      <c r="G4" s="175" t="s">
        <v>270</v>
      </c>
      <c r="H4" s="176" t="s">
        <v>271</v>
      </c>
      <c r="I4" s="282" t="s">
        <v>295</v>
      </c>
      <c r="J4" s="283"/>
      <c r="K4" s="284"/>
    </row>
    <row r="5" spans="1:21" s="44" customFormat="1" ht="37" customHeight="1" x14ac:dyDescent="0.2">
      <c r="A5" s="46"/>
      <c r="B5" s="92" t="s">
        <v>154</v>
      </c>
      <c r="C5" s="279" t="s">
        <v>322</v>
      </c>
      <c r="D5" s="280"/>
      <c r="E5" s="280"/>
      <c r="F5" s="281"/>
      <c r="G5" s="177">
        <v>0.8</v>
      </c>
      <c r="H5" s="178" t="s">
        <v>307</v>
      </c>
      <c r="I5" s="270" t="s">
        <v>269</v>
      </c>
      <c r="J5" s="271"/>
      <c r="K5" s="272"/>
      <c r="L5" s="5"/>
      <c r="M5" s="5"/>
      <c r="N5" s="5"/>
    </row>
    <row r="6" spans="1:21" s="44" customFormat="1" ht="48" customHeight="1" x14ac:dyDescent="0.2">
      <c r="A6" s="46"/>
      <c r="B6" s="92" t="s">
        <v>155</v>
      </c>
      <c r="C6" s="279" t="s">
        <v>323</v>
      </c>
      <c r="D6" s="280"/>
      <c r="E6" s="280"/>
      <c r="F6" s="281"/>
      <c r="G6" s="177">
        <v>0.8</v>
      </c>
      <c r="H6" s="179" t="s">
        <v>307</v>
      </c>
      <c r="I6" s="270" t="s">
        <v>268</v>
      </c>
      <c r="J6" s="271"/>
      <c r="K6" s="272"/>
      <c r="L6" s="5"/>
      <c r="M6" s="5"/>
      <c r="N6" s="5"/>
    </row>
    <row r="7" spans="1:21" s="44" customFormat="1" ht="180" customHeight="1" x14ac:dyDescent="0.2">
      <c r="A7" s="46"/>
      <c r="B7" s="92" t="s">
        <v>297</v>
      </c>
      <c r="C7" s="279" t="s">
        <v>298</v>
      </c>
      <c r="D7" s="280"/>
      <c r="E7" s="280"/>
      <c r="F7" s="281"/>
      <c r="G7" s="177">
        <v>1</v>
      </c>
      <c r="H7" s="179"/>
      <c r="I7" s="270" t="s">
        <v>299</v>
      </c>
      <c r="J7" s="271"/>
      <c r="K7" s="272"/>
      <c r="L7" s="5"/>
      <c r="M7" s="5"/>
      <c r="N7" s="5"/>
    </row>
    <row r="8" spans="1:21" s="44" customFormat="1" ht="60" x14ac:dyDescent="0.2">
      <c r="A8" s="46"/>
      <c r="B8" s="92" t="s">
        <v>156</v>
      </c>
      <c r="C8" s="279" t="s">
        <v>265</v>
      </c>
      <c r="D8" s="280"/>
      <c r="E8" s="280"/>
      <c r="F8" s="281"/>
      <c r="G8" s="177">
        <v>1</v>
      </c>
      <c r="H8" s="178" t="s">
        <v>266</v>
      </c>
      <c r="I8" s="270"/>
      <c r="J8" s="271"/>
      <c r="K8" s="272"/>
      <c r="L8" s="5"/>
      <c r="M8" s="5"/>
      <c r="N8" s="5"/>
    </row>
    <row r="9" spans="1:21" s="44" customFormat="1" ht="90" customHeight="1" x14ac:dyDescent="0.2">
      <c r="A9" s="46"/>
      <c r="B9" s="92" t="s">
        <v>157</v>
      </c>
      <c r="C9" s="279" t="s">
        <v>158</v>
      </c>
      <c r="D9" s="280"/>
      <c r="E9" s="280"/>
      <c r="F9" s="281"/>
      <c r="G9" s="177">
        <v>0.95</v>
      </c>
      <c r="H9" s="178" t="s">
        <v>307</v>
      </c>
      <c r="I9" s="279" t="s">
        <v>264</v>
      </c>
      <c r="J9" s="280"/>
      <c r="K9" s="296"/>
      <c r="L9" s="5"/>
      <c r="M9" s="5"/>
      <c r="N9" s="5"/>
    </row>
    <row r="10" spans="1:21" s="44" customFormat="1" ht="36" customHeight="1" x14ac:dyDescent="0.2">
      <c r="A10" s="47"/>
      <c r="B10" s="92" t="s">
        <v>159</v>
      </c>
      <c r="C10" s="279" t="s">
        <v>162</v>
      </c>
      <c r="D10" s="280"/>
      <c r="E10" s="280"/>
      <c r="F10" s="281"/>
      <c r="G10" s="180">
        <v>0.9</v>
      </c>
      <c r="H10" s="178"/>
      <c r="I10" s="270" t="s">
        <v>267</v>
      </c>
      <c r="J10" s="271"/>
      <c r="K10" s="272"/>
      <c r="L10" s="5"/>
      <c r="M10" s="5"/>
      <c r="N10" s="5"/>
    </row>
    <row r="11" spans="1:21" s="44" customFormat="1" ht="30" customHeight="1" x14ac:dyDescent="0.2">
      <c r="A11" s="46"/>
      <c r="B11" s="92" t="s">
        <v>160</v>
      </c>
      <c r="C11" s="279" t="s">
        <v>161</v>
      </c>
      <c r="D11" s="280"/>
      <c r="E11" s="280"/>
      <c r="F11" s="281"/>
      <c r="G11" s="180">
        <v>0.9</v>
      </c>
      <c r="H11" s="179"/>
      <c r="I11" s="270" t="s">
        <v>267</v>
      </c>
      <c r="J11" s="271"/>
      <c r="K11" s="272"/>
      <c r="L11" s="5"/>
      <c r="M11" s="5"/>
      <c r="N11" s="5"/>
    </row>
    <row r="12" spans="1:21" ht="15" thickBot="1" x14ac:dyDescent="0.25"/>
    <row r="13" spans="1:21" x14ac:dyDescent="0.2">
      <c r="B13" s="48" t="s">
        <v>255</v>
      </c>
      <c r="C13" s="49"/>
      <c r="D13" s="49"/>
      <c r="E13" s="49"/>
      <c r="F13" s="49"/>
      <c r="G13" s="50"/>
      <c r="H13" s="49"/>
      <c r="I13" s="49"/>
      <c r="J13" s="49"/>
      <c r="K13" s="49"/>
      <c r="L13" s="49"/>
      <c r="M13" s="49"/>
      <c r="N13" s="49"/>
      <c r="O13" s="49"/>
      <c r="P13" s="49"/>
      <c r="Q13" s="49"/>
      <c r="R13" s="49"/>
      <c r="S13" s="49"/>
      <c r="T13" s="49"/>
      <c r="U13" s="51"/>
    </row>
    <row r="14" spans="1:21" ht="30" customHeight="1" x14ac:dyDescent="0.2">
      <c r="B14" s="301" t="s">
        <v>258</v>
      </c>
      <c r="C14" s="302"/>
      <c r="D14" s="302"/>
      <c r="E14" s="302"/>
      <c r="F14" s="302"/>
      <c r="G14" s="302"/>
      <c r="H14" s="302"/>
      <c r="I14" s="302"/>
      <c r="J14" s="302"/>
      <c r="K14" s="302"/>
      <c r="L14" s="302"/>
      <c r="M14" s="302"/>
      <c r="N14" s="302"/>
      <c r="O14" s="302"/>
      <c r="P14" s="302"/>
      <c r="Q14" s="302"/>
      <c r="R14" s="302"/>
      <c r="S14" s="302"/>
      <c r="T14" s="302"/>
      <c r="U14" s="303"/>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99" t="s">
        <v>254</v>
      </c>
      <c r="C16" s="300"/>
      <c r="D16" s="300"/>
      <c r="E16" s="300"/>
      <c r="F16" s="300"/>
      <c r="G16" s="300"/>
      <c r="H16" s="300"/>
      <c r="I16" s="300"/>
      <c r="J16" s="300"/>
      <c r="K16" s="300"/>
      <c r="L16" s="300"/>
      <c r="M16" s="300"/>
      <c r="N16" s="300"/>
      <c r="O16" s="300"/>
      <c r="P16" s="300"/>
      <c r="Q16" s="300"/>
      <c r="R16" s="300"/>
      <c r="S16" s="300"/>
      <c r="T16" s="300"/>
      <c r="U16" s="304"/>
    </row>
    <row r="17" spans="2:21" x14ac:dyDescent="0.2">
      <c r="B17" s="294" t="s">
        <v>250</v>
      </c>
      <c r="C17" s="295"/>
      <c r="D17" s="181">
        <v>2008</v>
      </c>
      <c r="E17" s="181">
        <v>2009</v>
      </c>
      <c r="F17" s="181">
        <v>2010</v>
      </c>
      <c r="G17" s="181">
        <v>2011</v>
      </c>
      <c r="H17" s="181">
        <v>2012</v>
      </c>
      <c r="I17" s="181">
        <v>2013</v>
      </c>
      <c r="J17" s="181">
        <v>2014</v>
      </c>
      <c r="K17" s="181">
        <v>2015</v>
      </c>
      <c r="L17" s="181">
        <v>2016</v>
      </c>
      <c r="M17" s="181">
        <v>2017</v>
      </c>
      <c r="N17" s="181">
        <v>2018</v>
      </c>
      <c r="O17" s="181">
        <v>2019</v>
      </c>
      <c r="P17" s="181">
        <v>2020</v>
      </c>
      <c r="Q17" s="181">
        <v>2021</v>
      </c>
      <c r="R17" s="181">
        <v>2022</v>
      </c>
      <c r="S17" s="181">
        <v>2023</v>
      </c>
      <c r="T17" s="181">
        <v>2024</v>
      </c>
      <c r="U17" s="182" t="s">
        <v>256</v>
      </c>
    </row>
    <row r="18" spans="2:21" x14ac:dyDescent="0.2">
      <c r="B18" s="294" t="s">
        <v>251</v>
      </c>
      <c r="C18" s="295"/>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83">
        <v>0.8</v>
      </c>
    </row>
    <row r="19" spans="2:21" x14ac:dyDescent="0.2">
      <c r="B19" s="294" t="s">
        <v>252</v>
      </c>
      <c r="C19" s="295"/>
      <c r="D19" s="59">
        <f>78/86</f>
        <v>0.90697674418604646</v>
      </c>
      <c r="E19" s="59">
        <f>78/86</f>
        <v>0.90697674418604646</v>
      </c>
      <c r="F19" s="59">
        <f>78/86</f>
        <v>0.90697674418604646</v>
      </c>
      <c r="G19" s="59">
        <f>83/89</f>
        <v>0.93258426966292129</v>
      </c>
      <c r="H19" s="59">
        <f>0.87/H18</f>
        <v>0.95604395604395598</v>
      </c>
      <c r="I19" s="59">
        <f>0.84/I18</f>
        <v>0.93333333333333324</v>
      </c>
      <c r="J19" s="59">
        <f>0.85/J18</f>
        <v>0.94444444444444442</v>
      </c>
      <c r="K19" s="59">
        <f>0.84/K18</f>
        <v>0.95454545454545447</v>
      </c>
      <c r="L19" s="59">
        <f>0.83/L18</f>
        <v>0.96511627906976738</v>
      </c>
      <c r="M19" s="59">
        <f>0.82/M18</f>
        <v>0.95348837209302317</v>
      </c>
      <c r="N19" s="59">
        <f>0.82/N18</f>
        <v>0.96470588235294119</v>
      </c>
      <c r="O19" s="59">
        <f>0.82/O18</f>
        <v>0.96470588235294119</v>
      </c>
      <c r="P19" s="59">
        <f>0.59/P18</f>
        <v>0.98333333333333328</v>
      </c>
      <c r="Q19" s="59">
        <f>0.59/0.77</f>
        <v>0.76623376623376616</v>
      </c>
      <c r="R19" s="59">
        <f>0.5/0.6</f>
        <v>0.83333333333333337</v>
      </c>
      <c r="S19" s="59">
        <v>0</v>
      </c>
      <c r="T19" s="59">
        <v>0</v>
      </c>
      <c r="U19" s="183">
        <v>0</v>
      </c>
    </row>
    <row r="20" spans="2:21" x14ac:dyDescent="0.2">
      <c r="B20" s="294" t="s">
        <v>253</v>
      </c>
      <c r="C20" s="295"/>
      <c r="D20" s="59">
        <v>1</v>
      </c>
      <c r="E20" s="59">
        <v>1</v>
      </c>
      <c r="F20" s="59">
        <v>1</v>
      </c>
      <c r="G20" s="59">
        <v>1</v>
      </c>
      <c r="H20" s="59">
        <v>1</v>
      </c>
      <c r="I20" s="59">
        <v>1</v>
      </c>
      <c r="J20" s="59">
        <v>0</v>
      </c>
      <c r="K20" s="59">
        <v>0</v>
      </c>
      <c r="L20" s="59">
        <v>0</v>
      </c>
      <c r="M20" s="59">
        <v>0</v>
      </c>
      <c r="N20" s="59">
        <v>0</v>
      </c>
      <c r="O20" s="59">
        <v>0</v>
      </c>
      <c r="P20" s="59">
        <v>0</v>
      </c>
      <c r="Q20" s="59">
        <v>0</v>
      </c>
      <c r="R20" s="59">
        <v>0</v>
      </c>
      <c r="S20" s="59">
        <v>0</v>
      </c>
      <c r="T20" s="59">
        <v>0</v>
      </c>
      <c r="U20" s="183">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99" t="s">
        <v>257</v>
      </c>
      <c r="C22" s="300"/>
      <c r="D22" s="300"/>
      <c r="E22" s="300"/>
      <c r="F22" s="300"/>
      <c r="G22" s="300"/>
      <c r="H22" s="300"/>
      <c r="I22" s="300"/>
      <c r="J22" s="300"/>
      <c r="K22" s="184"/>
      <c r="L22" s="184"/>
      <c r="M22" s="184"/>
      <c r="N22" s="184"/>
      <c r="O22" s="184"/>
      <c r="P22" s="184"/>
      <c r="Q22" s="184"/>
      <c r="R22" s="184"/>
      <c r="S22" s="184"/>
      <c r="T22" s="184"/>
      <c r="U22" s="185"/>
    </row>
    <row r="23" spans="2:21" x14ac:dyDescent="0.2">
      <c r="B23" s="294" t="s">
        <v>250</v>
      </c>
      <c r="C23" s="295"/>
      <c r="D23" s="181">
        <v>2019</v>
      </c>
      <c r="E23" s="181">
        <v>2020</v>
      </c>
      <c r="F23" s="181">
        <v>2021</v>
      </c>
      <c r="G23" s="181">
        <v>2022</v>
      </c>
      <c r="H23" s="181">
        <v>2023</v>
      </c>
      <c r="I23" s="181">
        <v>2024</v>
      </c>
      <c r="J23" s="67" t="s">
        <v>256</v>
      </c>
      <c r="K23" s="53"/>
      <c r="L23" s="53"/>
      <c r="M23" s="53"/>
      <c r="N23" s="53"/>
      <c r="O23" s="53"/>
      <c r="P23" s="53"/>
      <c r="Q23" s="53"/>
      <c r="R23" s="53"/>
      <c r="S23" s="53"/>
      <c r="T23" s="53"/>
      <c r="U23" s="55"/>
    </row>
    <row r="24" spans="2:21" x14ac:dyDescent="0.2">
      <c r="B24" s="294" t="s">
        <v>251</v>
      </c>
      <c r="C24" s="295"/>
      <c r="D24" s="59">
        <f>E24</f>
        <v>0.53</v>
      </c>
      <c r="E24" s="59">
        <v>0.53</v>
      </c>
      <c r="F24" s="59">
        <v>0.71</v>
      </c>
      <c r="G24" s="59">
        <v>0.8</v>
      </c>
      <c r="H24" s="59">
        <v>0.8</v>
      </c>
      <c r="I24" s="59">
        <v>0.8</v>
      </c>
      <c r="J24" s="59">
        <v>0.8</v>
      </c>
      <c r="K24" s="53"/>
      <c r="L24" s="53"/>
      <c r="M24" s="53"/>
      <c r="N24" s="184" t="s">
        <v>259</v>
      </c>
      <c r="O24" s="53"/>
      <c r="P24" s="53"/>
      <c r="Q24" s="53"/>
      <c r="R24" s="53"/>
      <c r="S24" s="53"/>
      <c r="T24" s="53"/>
      <c r="U24" s="55"/>
    </row>
    <row r="25" spans="2:21" x14ac:dyDescent="0.2">
      <c r="B25" s="294" t="s">
        <v>252</v>
      </c>
      <c r="C25" s="295"/>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97" t="s">
        <v>253</v>
      </c>
      <c r="C26" s="298"/>
      <c r="D26" s="186">
        <v>0</v>
      </c>
      <c r="E26" s="186">
        <v>0</v>
      </c>
      <c r="F26" s="186">
        <v>0</v>
      </c>
      <c r="G26" s="186">
        <v>0</v>
      </c>
      <c r="H26" s="186">
        <v>0</v>
      </c>
      <c r="I26" s="186">
        <v>0</v>
      </c>
      <c r="J26" s="186">
        <v>0</v>
      </c>
      <c r="K26" s="57"/>
      <c r="L26" s="57"/>
      <c r="M26" s="57"/>
      <c r="N26" s="57"/>
      <c r="O26" s="57"/>
      <c r="P26" s="57"/>
      <c r="Q26" s="57"/>
      <c r="R26" s="57"/>
      <c r="S26" s="57"/>
      <c r="T26" s="57"/>
      <c r="U26" s="58"/>
    </row>
    <row r="28" spans="2:21" x14ac:dyDescent="0.2">
      <c r="M28" s="5" t="s">
        <v>303</v>
      </c>
    </row>
    <row r="29" spans="2:21" x14ac:dyDescent="0.2">
      <c r="E29" s="187"/>
      <c r="F29" s="187"/>
      <c r="G29" s="187"/>
      <c r="H29" s="187"/>
      <c r="I29" s="187"/>
      <c r="J29" s="187"/>
    </row>
    <row r="30" spans="2:21" x14ac:dyDescent="0.2">
      <c r="E30" s="187"/>
      <c r="F30" s="187"/>
      <c r="G30" s="187"/>
      <c r="H30" s="187"/>
      <c r="I30" s="187"/>
      <c r="J30" s="187"/>
    </row>
    <row r="31" spans="2:21" x14ac:dyDescent="0.2">
      <c r="E31" s="187"/>
      <c r="F31" s="187"/>
      <c r="G31" s="187"/>
      <c r="H31" s="187"/>
      <c r="I31" s="187"/>
      <c r="J31" s="187"/>
    </row>
  </sheetData>
  <mergeCells count="32">
    <mergeCell ref="I9:K9"/>
    <mergeCell ref="I10:K10"/>
    <mergeCell ref="B26:C26"/>
    <mergeCell ref="B22:J22"/>
    <mergeCell ref="B14:U14"/>
    <mergeCell ref="B17:C17"/>
    <mergeCell ref="B18:C18"/>
    <mergeCell ref="B19:C19"/>
    <mergeCell ref="B20:C20"/>
    <mergeCell ref="B23:C23"/>
    <mergeCell ref="B16:U16"/>
    <mergeCell ref="I11:K11"/>
    <mergeCell ref="B2:B3"/>
    <mergeCell ref="C2:F3"/>
    <mergeCell ref="C4:F4"/>
    <mergeCell ref="B24:C24"/>
    <mergeCell ref="B25:C25"/>
    <mergeCell ref="C11:F11"/>
    <mergeCell ref="C8:F8"/>
    <mergeCell ref="C9:F9"/>
    <mergeCell ref="C10:F10"/>
    <mergeCell ref="I8:K8"/>
    <mergeCell ref="I2:K3"/>
    <mergeCell ref="C7:F7"/>
    <mergeCell ref="I7:K7"/>
    <mergeCell ref="I4:K4"/>
    <mergeCell ref="C5:F5"/>
    <mergeCell ref="C6:F6"/>
    <mergeCell ref="G2:G3"/>
    <mergeCell ref="H2:H3"/>
    <mergeCell ref="I5:K5"/>
    <mergeCell ref="I6:K6"/>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zoomScale="114" zoomScaleNormal="100" workbookViewId="0">
      <selection activeCell="C13" sqref="C13"/>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 min="7" max="7" width="37.6640625" customWidth="1"/>
    <col min="8" max="8" width="23.33203125" bestFit="1" customWidth="1"/>
  </cols>
  <sheetData>
    <row r="1" spans="2:8" ht="17" thickBot="1" x14ac:dyDescent="0.25"/>
    <row r="2" spans="2:8" ht="17" thickBot="1" x14ac:dyDescent="0.25">
      <c r="B2" s="60" t="s">
        <v>247</v>
      </c>
      <c r="C2" s="61" t="s">
        <v>244</v>
      </c>
      <c r="D2" s="61" t="s">
        <v>245</v>
      </c>
      <c r="E2" s="61" t="s">
        <v>246</v>
      </c>
      <c r="F2" s="62" t="s">
        <v>10</v>
      </c>
      <c r="G2" s="61" t="s">
        <v>281</v>
      </c>
      <c r="H2" s="63" t="s">
        <v>284</v>
      </c>
    </row>
    <row r="3" spans="2:8" x14ac:dyDescent="0.2">
      <c r="B3" s="210" t="s">
        <v>243</v>
      </c>
      <c r="C3" s="211"/>
      <c r="D3" s="211"/>
      <c r="E3" s="211"/>
      <c r="F3" s="212"/>
      <c r="G3" s="75"/>
      <c r="H3" s="76"/>
    </row>
    <row r="4" spans="2:8" s="197" customFormat="1" x14ac:dyDescent="0.2">
      <c r="B4" s="196" t="s">
        <v>141</v>
      </c>
      <c r="C4" s="197" t="s">
        <v>248</v>
      </c>
      <c r="D4" s="197">
        <v>0.8</v>
      </c>
      <c r="E4" s="198">
        <v>0.65</v>
      </c>
      <c r="F4" s="199"/>
      <c r="G4" s="198">
        <v>2</v>
      </c>
      <c r="H4" s="200">
        <f>G4</f>
        <v>2</v>
      </c>
    </row>
    <row r="5" spans="2:8" x14ac:dyDescent="0.2">
      <c r="B5" s="210" t="s">
        <v>260</v>
      </c>
      <c r="C5" s="211"/>
      <c r="D5" s="211"/>
      <c r="E5" s="211"/>
      <c r="F5" s="212"/>
      <c r="G5" s="65"/>
      <c r="H5" s="194"/>
    </row>
    <row r="6" spans="2:8" x14ac:dyDescent="0.2">
      <c r="B6" s="207" t="s">
        <v>164</v>
      </c>
      <c r="C6" s="64" t="s">
        <v>261</v>
      </c>
      <c r="D6" s="64">
        <v>0.8</v>
      </c>
      <c r="E6" s="208" t="s">
        <v>262</v>
      </c>
      <c r="F6" s="209" t="s">
        <v>272</v>
      </c>
      <c r="G6" s="208">
        <v>3</v>
      </c>
      <c r="H6" s="194">
        <f>H4*G6</f>
        <v>6</v>
      </c>
    </row>
    <row r="7" spans="2:8" x14ac:dyDescent="0.2">
      <c r="B7" s="210" t="s">
        <v>273</v>
      </c>
      <c r="C7" s="211"/>
      <c r="D7" s="211"/>
      <c r="E7" s="211"/>
      <c r="F7" s="212"/>
      <c r="G7" s="65"/>
      <c r="H7" s="194"/>
    </row>
    <row r="8" spans="2:8" s="202" customFormat="1" x14ac:dyDescent="0.2">
      <c r="B8" s="313" t="s">
        <v>164</v>
      </c>
      <c r="C8" s="314" t="s">
        <v>290</v>
      </c>
      <c r="D8" s="315">
        <v>0.68</v>
      </c>
      <c r="E8" s="315" t="s">
        <v>292</v>
      </c>
      <c r="F8" s="217" t="s">
        <v>294</v>
      </c>
      <c r="G8" s="215">
        <v>3</v>
      </c>
      <c r="H8" s="216">
        <f>H6*G8</f>
        <v>18</v>
      </c>
    </row>
    <row r="9" spans="2:8" s="202" customFormat="1" x14ac:dyDescent="0.2">
      <c r="B9" s="313" t="s">
        <v>164</v>
      </c>
      <c r="C9" s="314" t="s">
        <v>291</v>
      </c>
      <c r="D9" s="315">
        <v>0.76</v>
      </c>
      <c r="E9" s="315" t="s">
        <v>293</v>
      </c>
      <c r="F9" s="217"/>
      <c r="G9" s="215"/>
      <c r="H9" s="216"/>
    </row>
    <row r="10" spans="2:8" s="202" customFormat="1" ht="16" customHeight="1" x14ac:dyDescent="0.2">
      <c r="B10" s="203" t="s">
        <v>164</v>
      </c>
      <c r="C10" s="314" t="s">
        <v>154</v>
      </c>
      <c r="D10" s="167">
        <v>0.8</v>
      </c>
      <c r="E10" s="315" t="s">
        <v>274</v>
      </c>
      <c r="F10" s="217"/>
      <c r="G10" s="215"/>
      <c r="H10" s="216"/>
    </row>
    <row r="11" spans="2:8" s="202" customFormat="1" x14ac:dyDescent="0.2">
      <c r="B11" s="203" t="s">
        <v>164</v>
      </c>
      <c r="C11" s="167" t="s">
        <v>155</v>
      </c>
      <c r="D11" s="167">
        <v>0.8</v>
      </c>
      <c r="E11" s="315" t="s">
        <v>274</v>
      </c>
      <c r="F11" s="217"/>
      <c r="G11" s="215"/>
      <c r="H11" s="216"/>
    </row>
    <row r="12" spans="2:8" s="202" customFormat="1" x14ac:dyDescent="0.2">
      <c r="B12" s="203" t="s">
        <v>164</v>
      </c>
      <c r="C12" s="167" t="s">
        <v>159</v>
      </c>
      <c r="D12" s="167">
        <v>0.9</v>
      </c>
      <c r="E12" s="315" t="s">
        <v>280</v>
      </c>
      <c r="F12" s="217"/>
      <c r="G12" s="215"/>
      <c r="H12" s="216"/>
    </row>
    <row r="13" spans="2:8" s="202" customFormat="1" x14ac:dyDescent="0.2">
      <c r="B13" s="203" t="s">
        <v>164</v>
      </c>
      <c r="C13" s="167" t="s">
        <v>160</v>
      </c>
      <c r="D13" s="167">
        <v>0.9</v>
      </c>
      <c r="E13" s="315" t="s">
        <v>275</v>
      </c>
      <c r="F13" s="217"/>
      <c r="G13" s="215"/>
      <c r="H13" s="216"/>
    </row>
    <row r="14" spans="2:8" x14ac:dyDescent="0.2">
      <c r="B14" s="210" t="s">
        <v>305</v>
      </c>
      <c r="C14" s="211"/>
      <c r="D14" s="211"/>
      <c r="E14" s="211"/>
      <c r="F14" s="212"/>
      <c r="G14" s="65"/>
      <c r="H14" s="194"/>
    </row>
    <row r="15" spans="2:8" s="201" customFormat="1" ht="16" customHeight="1" x14ac:dyDescent="0.2">
      <c r="B15" s="196" t="s">
        <v>149</v>
      </c>
      <c r="C15" s="197" t="s">
        <v>276</v>
      </c>
      <c r="D15" s="197">
        <v>0</v>
      </c>
      <c r="E15" s="197">
        <v>0.1</v>
      </c>
      <c r="F15" s="218" t="s">
        <v>279</v>
      </c>
      <c r="G15" s="311">
        <v>2</v>
      </c>
      <c r="H15" s="312">
        <f>H8*G15</f>
        <v>36</v>
      </c>
    </row>
    <row r="16" spans="2:8" s="201" customFormat="1" x14ac:dyDescent="0.2">
      <c r="B16" s="196" t="s">
        <v>149</v>
      </c>
      <c r="C16" s="197" t="s">
        <v>277</v>
      </c>
      <c r="D16" s="197">
        <v>0</v>
      </c>
      <c r="E16" s="197">
        <v>0.1</v>
      </c>
      <c r="F16" s="218"/>
      <c r="G16" s="311"/>
      <c r="H16" s="312"/>
    </row>
    <row r="17" spans="2:8" s="201" customFormat="1" x14ac:dyDescent="0.2">
      <c r="B17" s="196" t="s">
        <v>149</v>
      </c>
      <c r="C17" s="197" t="s">
        <v>278</v>
      </c>
      <c r="D17" s="197">
        <v>0</v>
      </c>
      <c r="E17" s="197">
        <v>0.1</v>
      </c>
      <c r="F17" s="218"/>
      <c r="G17" s="311"/>
      <c r="H17" s="312"/>
    </row>
    <row r="18" spans="2:8" x14ac:dyDescent="0.2">
      <c r="B18" s="210" t="s">
        <v>324</v>
      </c>
      <c r="C18" s="211"/>
      <c r="D18" s="211"/>
      <c r="E18" s="211"/>
      <c r="F18" s="212"/>
      <c r="G18" s="195"/>
      <c r="H18" s="194"/>
    </row>
    <row r="19" spans="2:8" s="201" customFormat="1" ht="49" x14ac:dyDescent="0.2">
      <c r="B19" s="196" t="s">
        <v>4</v>
      </c>
      <c r="C19" s="197" t="s">
        <v>96</v>
      </c>
      <c r="D19" s="204" t="s">
        <v>308</v>
      </c>
      <c r="E19" s="204" t="s">
        <v>166</v>
      </c>
      <c r="F19" s="205" t="s">
        <v>325</v>
      </c>
      <c r="G19" s="206">
        <v>2</v>
      </c>
      <c r="H19" s="200">
        <f>H15*G19</f>
        <v>72</v>
      </c>
    </row>
    <row r="20" spans="2:8" x14ac:dyDescent="0.2">
      <c r="B20" s="210" t="s">
        <v>319</v>
      </c>
      <c r="C20" s="211"/>
      <c r="D20" s="211"/>
      <c r="E20" s="211"/>
      <c r="F20" s="212"/>
      <c r="G20" s="135"/>
      <c r="H20" s="143"/>
    </row>
    <row r="21" spans="2:8" s="201" customFormat="1" x14ac:dyDescent="0.2">
      <c r="B21" s="196" t="s">
        <v>140</v>
      </c>
      <c r="C21" s="197" t="s">
        <v>326</v>
      </c>
      <c r="D21" s="197">
        <v>0.96</v>
      </c>
      <c r="E21" s="197">
        <v>0.9</v>
      </c>
      <c r="F21" s="305" t="s">
        <v>328</v>
      </c>
      <c r="G21" s="213">
        <v>2</v>
      </c>
      <c r="H21" s="219">
        <f>H19*G21</f>
        <v>144</v>
      </c>
    </row>
    <row r="22" spans="2:8" s="201" customFormat="1" ht="17" thickBot="1" x14ac:dyDescent="0.25">
      <c r="B22" s="306" t="s">
        <v>140</v>
      </c>
      <c r="C22" s="307" t="s">
        <v>320</v>
      </c>
      <c r="D22" s="307">
        <v>0.7</v>
      </c>
      <c r="E22" s="307">
        <v>0.85</v>
      </c>
      <c r="F22" s="308"/>
      <c r="G22" s="309"/>
      <c r="H22" s="310"/>
    </row>
    <row r="23" spans="2:8" ht="17" thickBot="1" x14ac:dyDescent="0.25">
      <c r="B23" s="8"/>
      <c r="C23" s="8"/>
      <c r="D23" s="8"/>
      <c r="E23" s="8"/>
      <c r="F23" s="8"/>
      <c r="G23" s="8"/>
      <c r="H23" s="8"/>
    </row>
    <row r="24" spans="2:8" x14ac:dyDescent="0.2">
      <c r="B24" s="8"/>
      <c r="C24" s="8"/>
      <c r="D24" s="8"/>
      <c r="E24" s="8"/>
      <c r="F24" s="78" t="s">
        <v>282</v>
      </c>
      <c r="G24" s="79">
        <f>G4+G6+G8+G15+G19+G21-COUNT(G3:G22)</f>
        <v>8</v>
      </c>
      <c r="H24" s="8"/>
    </row>
    <row r="25" spans="2:8" ht="17" thickBot="1" x14ac:dyDescent="0.25">
      <c r="B25" s="8"/>
      <c r="C25" s="8"/>
      <c r="D25" s="8"/>
      <c r="E25" s="8"/>
      <c r="F25" s="77" t="s">
        <v>283</v>
      </c>
      <c r="G25" s="80">
        <f>H21</f>
        <v>144</v>
      </c>
      <c r="H25" s="8"/>
    </row>
    <row r="27" spans="2:8" x14ac:dyDescent="0.2">
      <c r="C27" s="214" t="s">
        <v>296</v>
      </c>
      <c r="D27" s="214"/>
      <c r="E27" s="214"/>
      <c r="F27" s="214"/>
      <c r="G27" s="214"/>
    </row>
    <row r="28" spans="2:8" x14ac:dyDescent="0.2">
      <c r="C28" s="214"/>
      <c r="D28" s="214"/>
      <c r="E28" s="214"/>
      <c r="F28" s="214"/>
      <c r="G28" s="214"/>
    </row>
    <row r="29" spans="2:8" x14ac:dyDescent="0.2">
      <c r="C29" s="214"/>
      <c r="D29" s="214"/>
      <c r="E29" s="214"/>
      <c r="F29" s="214"/>
      <c r="G29" s="214"/>
    </row>
  </sheetData>
  <mergeCells count="16">
    <mergeCell ref="B18:F18"/>
    <mergeCell ref="F15:F17"/>
    <mergeCell ref="G15:G17"/>
    <mergeCell ref="H15:H17"/>
    <mergeCell ref="F8:F13"/>
    <mergeCell ref="H8:H13"/>
    <mergeCell ref="C27:G29"/>
    <mergeCell ref="B20:F20"/>
    <mergeCell ref="G21:G22"/>
    <mergeCell ref="H21:H22"/>
    <mergeCell ref="F21:F22"/>
    <mergeCell ref="B5:F5"/>
    <mergeCell ref="B3:F3"/>
    <mergeCell ref="B7:F7"/>
    <mergeCell ref="B14:F14"/>
    <mergeCell ref="G8:G1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2026-05-03T13:32:06Z</dcterms:modified>
</cp:coreProperties>
</file>