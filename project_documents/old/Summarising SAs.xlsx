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202300"/>
  <mc:AlternateContent xmlns:mc="http://schemas.openxmlformats.org/markup-compatibility/2006">
    <mc:Choice Requires="x15">
      <x15ac:absPath xmlns:x15ac="http://schemas.microsoft.com/office/spreadsheetml/2010/11/ac" url="/Users/fabian/Documents/DPhil Work/Academic Work/EnglandCervicalScreeningProject/project_modelling/"/>
    </mc:Choice>
  </mc:AlternateContent>
  <xr:revisionPtr revIDLastSave="0" documentId="13_ncr:1_{FFCAF6FB-7B56-AF45-908A-F6F44D8AE022}" xr6:coauthVersionLast="47" xr6:coauthVersionMax="47" xr10:uidLastSave="{00000000-0000-0000-0000-000000000000}"/>
  <bookViews>
    <workbookView xWindow="0" yWindow="760" windowWidth="29400" windowHeight="17180" activeTab="3" xr2:uid="{3EC849C0-5220-B842-8A32-44D9635826F9}"/>
  </bookViews>
  <sheets>
    <sheet name="Full Population" sheetId="3" r:id="rId1"/>
    <sheet name="Vaccinated Individuals" sheetId="1" r:id="rId2"/>
    <sheet name="Unvacc. Vacc-elig individuals" sheetId="2" r:id="rId3"/>
    <sheet name="Elimination Result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16" i="3" l="1"/>
</calcChain>
</file>

<file path=xl/sharedStrings.xml><?xml version="1.0" encoding="utf-8"?>
<sst xmlns="http://schemas.openxmlformats.org/spreadsheetml/2006/main" count="106" uniqueCount="22">
  <si>
    <t>Sensitivity Analysis</t>
  </si>
  <si>
    <t>Vaccination Uptake</t>
  </si>
  <si>
    <t>CCI (1\% signficiance level)</t>
  </si>
  <si>
    <t>LTUP (1\% signficiance level)</t>
  </si>
  <si>
    <t>Population-wise</t>
  </si>
  <si>
    <t>For vaccinated population</t>
  </si>
  <si>
    <t>For unvaccinated vaccine-eligible population</t>
  </si>
  <si>
    <t>What is the smallest x for which a VxU5A5 algorithm is worse (in either 2040 or 2050) than V5U5A5 in terms of….</t>
  </si>
  <si>
    <t>What is the smallest x for which a VxUxA5 algorithm is worse  (in either 2040 or 2050) than V5U5A5 in terms of….</t>
  </si>
  <si>
    <t>What is the smallest x for which a VxU5A5 algorithm is worse   (in either 2040 or 2050) than V5U5A5 in terms of….</t>
  </si>
  <si>
    <t>n/a</t>
  </si>
  <si>
    <t>Removal of screening</t>
  </si>
  <si>
    <t>d&gt;0.45 means t&gt;5.2</t>
  </si>
  <si>
    <t>CCI (effect size&gt;0.45)</t>
  </si>
  <si>
    <t>LTUP (effect size &gt;0.45)</t>
  </si>
  <si>
    <t>Note on incidnece: 7 not signficiant at 2040, signficaint at 2050 (explained by aging vacc pop)</t>
  </si>
  <si>
    <t>LTUP note: es at V7U7A7 is 0.54</t>
  </si>
  <si>
    <t>LTUP note: as below, es gets too big at 10-yearly at 2040, but at 7-yearly in 2040</t>
  </si>
  <si>
    <t>Some of these signfifacnces are random, and I think the 10 under LTUP effectis zie , cohort wise, is a random deviation</t>
  </si>
  <si>
    <t>Note on LTUP: 7 not signficiant at 2040, signficaint at 2050 (explained by aging vacc pop)</t>
  </si>
  <si>
    <t>Below, I rephrase the table in a form which is more easily interpretable: the largest admissable screening interval according to a metric</t>
  </si>
  <si>
    <t xml:space="preserve"> We conclude our equity analysis by noting a somewhat-unintuitive phenomenon that emerges when performing a subgroup analysis splitting by vaccinated and unvacccinated subpopulations, which motivates cautious interpretation when comparing such cancer rates over changing vaccination uptake levels. Taking unvaccinated cancer elimination probabilities by 2040 as an example, and fixing the algorithm at fixed-interval 5-yearly screening ('5'), we observe probabilities 0.44 for 60\% uptake, 0.34 for 80\% uptake, and 0.3 for 90\% uptake: counterintuitively, an increase in vaccination rates causes a decrease in empirical elimination probability. This is explained as follows: although absolute cancer incidence does decrease in the unvaccinated subgroup as vaccination uptake increases, rates per 100k (in 2040) increase. Firstly, cohort-wise herd effect is reached at vaccine-uptake levels under 60\% [https://pmc.ncbi.nlm.nih.gov/articles/PMC12309560/], and as mixing is mostly between individuals in similar age-brackets, we do not expect a signficiantly improved herd effect in unvaccinated individuals as uptake increases from 60\% to 90\%. Further, most cervical cancers occur after the age of 40 [X], meaning that many cancers which do develop between 2026 and 2050 are in the older unvaccinated cohort, and will develop regardless of vaccination uptake in younger individuals (with which there is little mixing). However, the size of the unvaccinated subpopulation itself does shrink notably as vaccination levels vary from 60\% to 90\%, as a result of fewer younger individuals joining the subpopulation (as they take up vaccines). Therefore, when computing rates of cancer incidence in 2040, for example, we therefore observe the numerator (number of cancers developed in 2040) and denominator (size of unvaccinated subpopulation) change disproportionately, and imply increased rates of cancer incidence in the unvaccinated subpopulation as vaccination levels increase, which - although strictly true - is misrepresentative.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</si>
</sst>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scheme val="minor"/>
    </font>
    <font>
      <sz val="12"/>
      <color theme="1"/>
      <name val="Aptos Narrow"/>
      <scheme val="minor"/>
    </font>
  </fonts>
  <fills count="3">
    <fill>
      <patternFill patternType="none"/>
    </fill>
    <fill>
      <patternFill patternType="gray125"/>
    </fill>
    <fill>
      <patternFill patternType="solid">
        <fgColor rgb="FFFFFF00"/>
        <bgColor indexed="64"/>
      </patternFill>
    </fill>
  </fills>
  <borders count="9">
    <border>
      <left/>
      <right/>
      <top/>
      <bottom/>
      <diagonal/>
    </border>
    <border>
      <left/>
      <right style="thin">
        <color indexed="64"/>
      </right>
      <top/>
      <bottom/>
      <diagonal/>
    </border>
    <border>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s>
  <cellStyleXfs count="1">
    <xf numFmtId="0" fontId="0" fillId="0" borderId="0"/>
  </cellStyleXfs>
  <cellXfs count="25">
    <xf numFmtId="0" fontId="0" fillId="0" borderId="0" xfId="0"/>
    <xf numFmtId="0" fontId="1" fillId="0" borderId="0" xfId="0" applyFont="1"/>
    <xf numFmtId="0" fontId="2" fillId="0" borderId="0" xfId="0" applyFont="1"/>
    <xf numFmtId="0" fontId="2" fillId="0" borderId="1" xfId="0" applyFont="1" applyBorder="1"/>
    <xf numFmtId="0" fontId="0" fillId="0" borderId="1" xfId="0" applyBorder="1"/>
    <xf numFmtId="0" fontId="0" fillId="0" borderId="2" xfId="0" applyBorder="1"/>
    <xf numFmtId="0" fontId="2" fillId="0" borderId="3" xfId="0" applyFont="1" applyBorder="1"/>
    <xf numFmtId="0" fontId="0" fillId="0" borderId="4" xfId="0" applyBorder="1"/>
    <xf numFmtId="0" fontId="2" fillId="0" borderId="2" xfId="0" applyFont="1" applyBorder="1"/>
    <xf numFmtId="0" fontId="2" fillId="0" borderId="4" xfId="0" applyFont="1" applyBorder="1"/>
    <xf numFmtId="0" fontId="0" fillId="0" borderId="5" xfId="0" applyBorder="1"/>
    <xf numFmtId="0" fontId="2" fillId="0" borderId="8" xfId="0" applyFont="1" applyBorder="1"/>
    <xf numFmtId="0" fontId="2" fillId="2" borderId="0" xfId="0" applyFont="1" applyFill="1"/>
    <xf numFmtId="0" fontId="0" fillId="0" borderId="8" xfId="0" applyBorder="1"/>
    <xf numFmtId="0" fontId="0" fillId="2" borderId="0" xfId="0" applyFill="1"/>
    <xf numFmtId="0" fontId="2" fillId="0" borderId="5" xfId="0" applyFont="1" applyBorder="1"/>
    <xf numFmtId="0" fontId="0" fillId="0" borderId="6" xfId="0" applyBorder="1" applyAlignment="1">
      <alignment horizontal="center" wrapText="1"/>
    </xf>
    <xf numFmtId="0" fontId="0" fillId="0" borderId="8" xfId="0" applyBorder="1" applyAlignment="1">
      <alignment horizontal="center" wrapText="1"/>
    </xf>
    <xf numFmtId="0" fontId="0" fillId="0" borderId="3" xfId="0" applyBorder="1" applyAlignment="1">
      <alignment horizontal="center" wrapText="1"/>
    </xf>
    <xf numFmtId="0" fontId="0" fillId="0" borderId="1" xfId="0" applyBorder="1" applyAlignment="1">
      <alignment horizontal="center" wrapText="1"/>
    </xf>
    <xf numFmtId="0" fontId="0" fillId="0" borderId="7" xfId="0" applyBorder="1" applyAlignment="1">
      <alignment horizontal="center"/>
    </xf>
    <xf numFmtId="0" fontId="0" fillId="0" borderId="3" xfId="0" applyBorder="1" applyAlignment="1">
      <alignment horizontal="center"/>
    </xf>
    <xf numFmtId="0" fontId="0" fillId="0" borderId="0" xfId="0" applyAlignment="1">
      <alignment horizontal="center"/>
    </xf>
    <xf numFmtId="0" fontId="0" fillId="0" borderId="1" xfId="0" applyBorder="1" applyAlignment="1">
      <alignment horizontal="center"/>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54CFC-967F-2647-AAB6-8AA2B5D3030D}">
  <dimension ref="A1:L36"/>
  <sheetViews>
    <sheetView topLeftCell="A11" zoomScale="111" workbookViewId="0">
      <selection activeCell="I33" sqref="A33:I33"/>
    </sheetView>
  </sheetViews>
  <sheetFormatPr baseColWidth="10" defaultRowHeight="16" x14ac:dyDescent="0.2"/>
  <cols>
    <col min="2" max="2" width="10.83203125" style="4"/>
    <col min="3" max="3" width="23.6640625" bestFit="1" customWidth="1"/>
    <col min="4" max="4" width="24.5" bestFit="1" customWidth="1"/>
    <col min="5" max="5" width="18.83203125" bestFit="1" customWidth="1"/>
    <col min="6" max="6" width="20.33203125" bestFit="1" customWidth="1"/>
    <col min="7" max="7" width="23.6640625" bestFit="1" customWidth="1"/>
    <col min="8" max="8" width="24.5" bestFit="1" customWidth="1"/>
    <col min="9" max="9" width="18.83203125" bestFit="1" customWidth="1"/>
    <col min="10" max="10" width="20.33203125" bestFit="1" customWidth="1"/>
  </cols>
  <sheetData>
    <row r="1" spans="1:12" x14ac:dyDescent="0.2">
      <c r="A1" s="24" t="s">
        <v>0</v>
      </c>
      <c r="B1" s="19" t="s">
        <v>1</v>
      </c>
      <c r="C1" s="22" t="s">
        <v>4</v>
      </c>
      <c r="D1" s="22"/>
      <c r="E1" s="22"/>
      <c r="F1" s="22"/>
      <c r="G1" s="22"/>
      <c r="H1" s="22"/>
      <c r="I1" s="22"/>
      <c r="J1" s="23"/>
    </row>
    <row r="2" spans="1:12" ht="16" customHeight="1" x14ac:dyDescent="0.2">
      <c r="A2" s="24"/>
      <c r="B2" s="19"/>
      <c r="C2" s="22" t="s">
        <v>7</v>
      </c>
      <c r="D2" s="22"/>
      <c r="E2" s="22"/>
      <c r="F2" s="22"/>
      <c r="G2" s="22" t="s">
        <v>8</v>
      </c>
      <c r="H2" s="22"/>
      <c r="I2" s="22"/>
      <c r="J2" s="23"/>
    </row>
    <row r="3" spans="1:12" s="5" customFormat="1" x14ac:dyDescent="0.2">
      <c r="A3" s="24"/>
      <c r="B3" s="19"/>
      <c r="C3" s="5" t="s">
        <v>2</v>
      </c>
      <c r="D3" s="5" t="s">
        <v>3</v>
      </c>
      <c r="E3" s="5" t="s">
        <v>13</v>
      </c>
      <c r="F3" s="5" t="s">
        <v>14</v>
      </c>
      <c r="G3" s="5" t="s">
        <v>2</v>
      </c>
      <c r="H3" s="5" t="s">
        <v>3</v>
      </c>
      <c r="I3" s="5" t="s">
        <v>13</v>
      </c>
      <c r="J3" s="7" t="s">
        <v>14</v>
      </c>
    </row>
    <row r="4" spans="1:12" s="2" customFormat="1" x14ac:dyDescent="0.2">
      <c r="A4" s="2">
        <v>0</v>
      </c>
      <c r="B4" s="3">
        <v>60</v>
      </c>
      <c r="C4" s="2" t="s">
        <v>11</v>
      </c>
      <c r="D4" s="2" t="s">
        <v>11</v>
      </c>
      <c r="E4" s="2" t="s">
        <v>10</v>
      </c>
      <c r="F4" s="6" t="s">
        <v>11</v>
      </c>
      <c r="G4" s="2">
        <v>10</v>
      </c>
      <c r="H4" s="2">
        <v>10</v>
      </c>
      <c r="I4" s="2">
        <v>15</v>
      </c>
      <c r="J4" s="3">
        <v>15</v>
      </c>
    </row>
    <row r="5" spans="1:12" s="2" customFormat="1" x14ac:dyDescent="0.2">
      <c r="A5" s="2">
        <v>0</v>
      </c>
      <c r="B5" s="3">
        <v>80</v>
      </c>
      <c r="C5" s="2" t="s">
        <v>11</v>
      </c>
      <c r="D5" s="2" t="s">
        <v>11</v>
      </c>
      <c r="E5" s="2" t="s">
        <v>11</v>
      </c>
      <c r="F5" s="3" t="s">
        <v>11</v>
      </c>
      <c r="G5" s="2">
        <v>10</v>
      </c>
      <c r="H5" s="2">
        <v>10</v>
      </c>
      <c r="I5" s="2">
        <v>15</v>
      </c>
      <c r="J5" s="3">
        <v>15</v>
      </c>
    </row>
    <row r="6" spans="1:12" x14ac:dyDescent="0.2">
      <c r="A6">
        <v>0</v>
      </c>
      <c r="B6" s="4">
        <v>90</v>
      </c>
      <c r="C6" t="s">
        <v>11</v>
      </c>
      <c r="D6" t="s">
        <v>11</v>
      </c>
      <c r="E6" t="s">
        <v>10</v>
      </c>
      <c r="F6" s="4" t="s">
        <v>11</v>
      </c>
      <c r="G6">
        <v>10</v>
      </c>
      <c r="H6">
        <v>10</v>
      </c>
      <c r="I6">
        <v>10</v>
      </c>
      <c r="J6" s="4">
        <v>10</v>
      </c>
      <c r="L6" t="s">
        <v>18</v>
      </c>
    </row>
    <row r="7" spans="1:12" s="2" customFormat="1" x14ac:dyDescent="0.2">
      <c r="A7" s="2">
        <v>1</v>
      </c>
      <c r="B7" s="3">
        <v>80</v>
      </c>
      <c r="C7" s="2" t="s">
        <v>11</v>
      </c>
      <c r="D7" s="2">
        <v>15</v>
      </c>
      <c r="E7" s="2" t="s">
        <v>11</v>
      </c>
      <c r="F7" s="3" t="s">
        <v>11</v>
      </c>
      <c r="G7" s="2">
        <v>7</v>
      </c>
      <c r="H7" s="2">
        <v>10</v>
      </c>
      <c r="I7" s="2">
        <v>15</v>
      </c>
      <c r="J7" s="3">
        <v>15</v>
      </c>
    </row>
    <row r="8" spans="1:12" s="2" customFormat="1" x14ac:dyDescent="0.2">
      <c r="A8" s="2">
        <v>2</v>
      </c>
      <c r="B8" s="3">
        <v>80</v>
      </c>
      <c r="C8" s="2">
        <v>15</v>
      </c>
      <c r="D8" s="2">
        <v>15</v>
      </c>
      <c r="E8" s="2" t="s">
        <v>10</v>
      </c>
      <c r="F8" s="3" t="s">
        <v>11</v>
      </c>
      <c r="G8" s="2">
        <v>15</v>
      </c>
      <c r="H8" s="2">
        <v>10</v>
      </c>
      <c r="I8" s="2">
        <v>15</v>
      </c>
      <c r="J8" s="3">
        <v>15</v>
      </c>
    </row>
    <row r="9" spans="1:12" s="2" customFormat="1" x14ac:dyDescent="0.2">
      <c r="A9" s="2">
        <v>3</v>
      </c>
      <c r="B9" s="3">
        <v>80</v>
      </c>
      <c r="C9" s="2" t="s">
        <v>11</v>
      </c>
      <c r="D9" s="2">
        <v>15</v>
      </c>
      <c r="E9" s="2" t="s">
        <v>11</v>
      </c>
      <c r="F9" s="3" t="s">
        <v>11</v>
      </c>
      <c r="G9" s="2">
        <v>7</v>
      </c>
      <c r="H9" s="2">
        <v>7</v>
      </c>
      <c r="I9" s="2">
        <v>10</v>
      </c>
      <c r="J9" s="3">
        <v>15</v>
      </c>
    </row>
    <row r="10" spans="1:12" s="2" customFormat="1" x14ac:dyDescent="0.2">
      <c r="A10" s="2">
        <v>4</v>
      </c>
      <c r="B10" s="3">
        <v>80</v>
      </c>
      <c r="C10" s="2" t="s">
        <v>11</v>
      </c>
      <c r="D10" s="2" t="s">
        <v>11</v>
      </c>
      <c r="E10" s="2" t="s">
        <v>10</v>
      </c>
      <c r="F10" s="3" t="s">
        <v>11</v>
      </c>
      <c r="G10" s="2">
        <v>10</v>
      </c>
      <c r="H10" s="2">
        <v>15</v>
      </c>
      <c r="I10" s="2">
        <v>15</v>
      </c>
      <c r="J10" s="3">
        <v>15</v>
      </c>
    </row>
    <row r="11" spans="1:12" s="2" customFormat="1" x14ac:dyDescent="0.2">
      <c r="A11" s="2">
        <v>5</v>
      </c>
      <c r="B11" s="3">
        <v>80</v>
      </c>
      <c r="C11" s="2">
        <v>7</v>
      </c>
      <c r="D11" s="2">
        <v>15</v>
      </c>
      <c r="E11" s="2" t="s">
        <v>11</v>
      </c>
      <c r="F11" s="3" t="s">
        <v>11</v>
      </c>
      <c r="G11" s="2">
        <v>10</v>
      </c>
      <c r="H11" s="2">
        <v>10</v>
      </c>
      <c r="I11" s="2">
        <v>15</v>
      </c>
      <c r="J11" s="3">
        <v>10</v>
      </c>
    </row>
    <row r="12" spans="1:12" s="2" customFormat="1" x14ac:dyDescent="0.2">
      <c r="A12" s="8">
        <v>6</v>
      </c>
      <c r="B12" s="9">
        <v>80</v>
      </c>
      <c r="C12" s="8">
        <v>15</v>
      </c>
      <c r="D12" s="8">
        <v>15</v>
      </c>
      <c r="E12" s="8" t="s">
        <v>11</v>
      </c>
      <c r="F12" s="9" t="s">
        <v>11</v>
      </c>
      <c r="G12" s="8">
        <v>7</v>
      </c>
      <c r="H12" s="8">
        <v>10</v>
      </c>
      <c r="I12" s="8">
        <v>15</v>
      </c>
      <c r="J12" s="9">
        <v>10</v>
      </c>
    </row>
    <row r="15" spans="1:12" x14ac:dyDescent="0.2">
      <c r="E15">
        <v>9</v>
      </c>
    </row>
    <row r="16" spans="1:12" x14ac:dyDescent="0.2">
      <c r="E16">
        <f>98-2*E15</f>
        <v>80</v>
      </c>
      <c r="I16">
        <v>5</v>
      </c>
    </row>
    <row r="17" spans="1:10" x14ac:dyDescent="0.2">
      <c r="I17">
        <v>7</v>
      </c>
    </row>
    <row r="18" spans="1:10" x14ac:dyDescent="0.2">
      <c r="I18">
        <v>10</v>
      </c>
    </row>
    <row r="19" spans="1:10" x14ac:dyDescent="0.2">
      <c r="C19" s="1" t="s">
        <v>12</v>
      </c>
      <c r="I19">
        <v>15</v>
      </c>
    </row>
    <row r="20" spans="1:10" x14ac:dyDescent="0.2">
      <c r="I20" t="s">
        <v>11</v>
      </c>
    </row>
    <row r="21" spans="1:10" x14ac:dyDescent="0.2">
      <c r="I21" t="s">
        <v>10</v>
      </c>
    </row>
    <row r="22" spans="1:10" x14ac:dyDescent="0.2">
      <c r="A22" t="s">
        <v>20</v>
      </c>
    </row>
    <row r="25" spans="1:10" x14ac:dyDescent="0.2">
      <c r="A25" s="24" t="s">
        <v>0</v>
      </c>
      <c r="B25" s="19" t="s">
        <v>1</v>
      </c>
      <c r="C25" s="22" t="s">
        <v>4</v>
      </c>
      <c r="D25" s="22"/>
      <c r="E25" s="22"/>
      <c r="F25" s="22"/>
      <c r="G25" s="22"/>
      <c r="H25" s="22"/>
      <c r="I25" s="22"/>
      <c r="J25" s="23"/>
    </row>
    <row r="26" spans="1:10" x14ac:dyDescent="0.2">
      <c r="A26" s="24"/>
      <c r="B26" s="19"/>
      <c r="C26" s="22" t="s">
        <v>7</v>
      </c>
      <c r="D26" s="22"/>
      <c r="E26" s="22"/>
      <c r="F26" s="22"/>
      <c r="G26" s="22" t="s">
        <v>8</v>
      </c>
      <c r="H26" s="22"/>
      <c r="I26" s="22"/>
      <c r="J26" s="23"/>
    </row>
    <row r="27" spans="1:10" x14ac:dyDescent="0.2">
      <c r="A27" s="24"/>
      <c r="B27" s="19"/>
      <c r="C27" s="5" t="s">
        <v>2</v>
      </c>
      <c r="D27" s="5" t="s">
        <v>3</v>
      </c>
      <c r="E27" s="5" t="s">
        <v>13</v>
      </c>
      <c r="F27" s="5" t="s">
        <v>14</v>
      </c>
      <c r="G27" s="5" t="s">
        <v>2</v>
      </c>
      <c r="H27" s="5" t="s">
        <v>3</v>
      </c>
      <c r="I27" s="5" t="s">
        <v>13</v>
      </c>
      <c r="J27" s="7" t="s">
        <v>14</v>
      </c>
    </row>
    <row r="28" spans="1:10" x14ac:dyDescent="0.2">
      <c r="A28" s="2">
        <v>0</v>
      </c>
      <c r="B28" s="3">
        <v>60</v>
      </c>
      <c r="C28" s="2">
        <v>15</v>
      </c>
      <c r="D28" s="2">
        <v>15</v>
      </c>
      <c r="E28" s="2" t="s">
        <v>11</v>
      </c>
      <c r="F28" s="6">
        <v>15</v>
      </c>
      <c r="G28" s="2">
        <v>7</v>
      </c>
      <c r="H28" s="2">
        <v>7</v>
      </c>
      <c r="I28" s="2">
        <v>10</v>
      </c>
      <c r="J28" s="3">
        <v>10</v>
      </c>
    </row>
    <row r="29" spans="1:10" x14ac:dyDescent="0.2">
      <c r="A29" s="2">
        <v>0</v>
      </c>
      <c r="B29" s="3">
        <v>80</v>
      </c>
      <c r="C29" s="2">
        <v>15</v>
      </c>
      <c r="D29" s="2">
        <v>15</v>
      </c>
      <c r="E29" s="2">
        <v>15</v>
      </c>
      <c r="F29" s="3">
        <v>15</v>
      </c>
      <c r="G29" s="2">
        <v>7</v>
      </c>
      <c r="H29" s="2">
        <v>7</v>
      </c>
      <c r="I29" s="2">
        <v>10</v>
      </c>
      <c r="J29" s="3">
        <v>10</v>
      </c>
    </row>
    <row r="30" spans="1:10" x14ac:dyDescent="0.2">
      <c r="A30">
        <v>0</v>
      </c>
      <c r="B30" s="4">
        <v>90</v>
      </c>
      <c r="C30">
        <v>15</v>
      </c>
      <c r="D30">
        <v>15</v>
      </c>
      <c r="E30" t="s">
        <v>11</v>
      </c>
      <c r="F30" s="4">
        <v>15</v>
      </c>
      <c r="G30">
        <v>7</v>
      </c>
      <c r="H30">
        <v>7</v>
      </c>
      <c r="I30">
        <v>7</v>
      </c>
      <c r="J30" s="4">
        <v>7</v>
      </c>
    </row>
    <row r="31" spans="1:10" x14ac:dyDescent="0.2">
      <c r="A31" s="2">
        <v>1</v>
      </c>
      <c r="B31" s="3">
        <v>80</v>
      </c>
      <c r="C31" s="2">
        <v>15</v>
      </c>
      <c r="D31" s="2">
        <v>10</v>
      </c>
      <c r="E31" s="2">
        <v>15</v>
      </c>
      <c r="F31" s="3">
        <v>15</v>
      </c>
      <c r="G31" s="2">
        <v>5</v>
      </c>
      <c r="H31" s="2">
        <v>7</v>
      </c>
      <c r="I31" s="2">
        <v>10</v>
      </c>
      <c r="J31" s="3">
        <v>10</v>
      </c>
    </row>
    <row r="32" spans="1:10" x14ac:dyDescent="0.2">
      <c r="A32" s="2">
        <v>2</v>
      </c>
      <c r="B32" s="3">
        <v>80</v>
      </c>
      <c r="C32" s="2">
        <v>10</v>
      </c>
      <c r="D32" s="2">
        <v>10</v>
      </c>
      <c r="E32" s="2" t="s">
        <v>11</v>
      </c>
      <c r="F32" s="3">
        <v>15</v>
      </c>
      <c r="G32" s="2">
        <v>10</v>
      </c>
      <c r="H32" s="2">
        <v>7</v>
      </c>
      <c r="I32" s="2">
        <v>10</v>
      </c>
      <c r="J32" s="3">
        <v>10</v>
      </c>
    </row>
    <row r="33" spans="1:10" x14ac:dyDescent="0.2">
      <c r="A33" s="2">
        <v>3</v>
      </c>
      <c r="B33" s="3">
        <v>80</v>
      </c>
      <c r="C33" s="2">
        <v>15</v>
      </c>
      <c r="D33" s="2">
        <v>10</v>
      </c>
      <c r="E33" s="2">
        <v>15</v>
      </c>
      <c r="F33" s="3">
        <v>15</v>
      </c>
      <c r="G33" s="2">
        <v>5</v>
      </c>
      <c r="H33" s="2">
        <v>5</v>
      </c>
      <c r="I33" s="2">
        <v>7</v>
      </c>
      <c r="J33" s="3">
        <v>10</v>
      </c>
    </row>
    <row r="34" spans="1:10" x14ac:dyDescent="0.2">
      <c r="A34" s="2">
        <v>4</v>
      </c>
      <c r="B34" s="3">
        <v>80</v>
      </c>
      <c r="C34" s="2">
        <v>15</v>
      </c>
      <c r="D34" s="2">
        <v>15</v>
      </c>
      <c r="E34" s="2" t="s">
        <v>11</v>
      </c>
      <c r="F34" s="3">
        <v>15</v>
      </c>
      <c r="G34" s="2">
        <v>7</v>
      </c>
      <c r="H34" s="2">
        <v>10</v>
      </c>
      <c r="I34" s="2">
        <v>10</v>
      </c>
      <c r="J34" s="3">
        <v>10</v>
      </c>
    </row>
    <row r="35" spans="1:10" x14ac:dyDescent="0.2">
      <c r="A35" s="2">
        <v>5</v>
      </c>
      <c r="B35" s="3">
        <v>80</v>
      </c>
      <c r="C35" s="2">
        <v>5</v>
      </c>
      <c r="D35" s="2">
        <v>10</v>
      </c>
      <c r="E35" s="2">
        <v>15</v>
      </c>
      <c r="F35" s="3">
        <v>15</v>
      </c>
      <c r="G35" s="2">
        <v>7</v>
      </c>
      <c r="H35" s="2">
        <v>7</v>
      </c>
      <c r="I35" s="2">
        <v>10</v>
      </c>
      <c r="J35" s="3">
        <v>7</v>
      </c>
    </row>
    <row r="36" spans="1:10" x14ac:dyDescent="0.2">
      <c r="A36" s="8">
        <v>6</v>
      </c>
      <c r="B36" s="9">
        <v>80</v>
      </c>
      <c r="C36" s="8">
        <v>10</v>
      </c>
      <c r="D36" s="8">
        <v>10</v>
      </c>
      <c r="E36" s="8">
        <v>15</v>
      </c>
      <c r="F36" s="9">
        <v>15</v>
      </c>
      <c r="G36" s="8">
        <v>5</v>
      </c>
      <c r="H36" s="8">
        <v>7</v>
      </c>
      <c r="I36" s="8">
        <v>10</v>
      </c>
      <c r="J36" s="9">
        <v>7</v>
      </c>
    </row>
  </sheetData>
  <mergeCells count="10">
    <mergeCell ref="A25:A27"/>
    <mergeCell ref="B25:B27"/>
    <mergeCell ref="C25:J25"/>
    <mergeCell ref="C26:F26"/>
    <mergeCell ref="G26:J26"/>
    <mergeCell ref="A1:A3"/>
    <mergeCell ref="B1:B3"/>
    <mergeCell ref="C1:J1"/>
    <mergeCell ref="C2:F2"/>
    <mergeCell ref="G2:J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DE4F0-CEC6-4B4A-88DD-82727FAD48E9}">
  <dimension ref="A1:H38"/>
  <sheetViews>
    <sheetView topLeftCell="A5" zoomScale="107" workbookViewId="0">
      <selection activeCell="F35" sqref="F35:F38"/>
    </sheetView>
  </sheetViews>
  <sheetFormatPr baseColWidth="10" defaultRowHeight="16" x14ac:dyDescent="0.2"/>
  <cols>
    <col min="3" max="3" width="23.6640625" bestFit="1" customWidth="1"/>
    <col min="4" max="4" width="24.5" bestFit="1" customWidth="1"/>
    <col min="5" max="5" width="18.83203125" bestFit="1" customWidth="1"/>
    <col min="6" max="6" width="22.1640625" customWidth="1"/>
  </cols>
  <sheetData>
    <row r="1" spans="1:8" x14ac:dyDescent="0.2">
      <c r="A1" s="24" t="s">
        <v>0</v>
      </c>
      <c r="B1" s="19" t="s">
        <v>1</v>
      </c>
      <c r="C1" s="22" t="s">
        <v>5</v>
      </c>
      <c r="D1" s="22"/>
      <c r="E1" s="22"/>
      <c r="F1" s="23"/>
    </row>
    <row r="2" spans="1:8" ht="16" customHeight="1" x14ac:dyDescent="0.2">
      <c r="A2" s="24"/>
      <c r="B2" s="19"/>
      <c r="C2" s="22" t="s">
        <v>9</v>
      </c>
      <c r="D2" s="22"/>
      <c r="E2" s="22"/>
      <c r="F2" s="23"/>
    </row>
    <row r="3" spans="1:8" x14ac:dyDescent="0.2">
      <c r="A3" s="24"/>
      <c r="B3" s="19"/>
      <c r="C3" s="10" t="s">
        <v>2</v>
      </c>
      <c r="D3" s="5" t="s">
        <v>3</v>
      </c>
      <c r="E3" s="5" t="s">
        <v>13</v>
      </c>
      <c r="F3" s="7" t="s">
        <v>14</v>
      </c>
    </row>
    <row r="4" spans="1:8" s="2" customFormat="1" x14ac:dyDescent="0.2">
      <c r="A4" s="2">
        <v>0</v>
      </c>
      <c r="B4" s="3">
        <v>60</v>
      </c>
      <c r="C4" s="2">
        <v>10</v>
      </c>
      <c r="D4" s="2">
        <v>10</v>
      </c>
      <c r="E4" s="2">
        <v>15</v>
      </c>
      <c r="F4" s="3">
        <v>10</v>
      </c>
    </row>
    <row r="5" spans="1:8" s="2" customFormat="1" x14ac:dyDescent="0.2">
      <c r="A5" s="2">
        <v>0</v>
      </c>
      <c r="B5" s="3">
        <v>80</v>
      </c>
      <c r="C5" s="2">
        <v>7</v>
      </c>
      <c r="D5" s="2">
        <v>10</v>
      </c>
      <c r="E5" s="2">
        <v>15</v>
      </c>
      <c r="F5" s="3">
        <v>15</v>
      </c>
    </row>
    <row r="6" spans="1:8" x14ac:dyDescent="0.2">
      <c r="A6">
        <v>0</v>
      </c>
      <c r="B6" s="4">
        <v>90</v>
      </c>
      <c r="C6">
        <v>7</v>
      </c>
      <c r="D6">
        <v>10</v>
      </c>
      <c r="E6">
        <v>15</v>
      </c>
      <c r="F6" s="4">
        <v>15</v>
      </c>
      <c r="H6" t="s">
        <v>15</v>
      </c>
    </row>
    <row r="7" spans="1:8" s="2" customFormat="1" x14ac:dyDescent="0.2">
      <c r="A7" s="2">
        <v>1</v>
      </c>
      <c r="B7" s="3">
        <v>80</v>
      </c>
      <c r="C7" s="2">
        <v>10</v>
      </c>
      <c r="D7" s="2">
        <v>7</v>
      </c>
      <c r="E7" s="2">
        <v>15</v>
      </c>
      <c r="F7" s="3">
        <v>10</v>
      </c>
    </row>
    <row r="8" spans="1:8" s="2" customFormat="1" x14ac:dyDescent="0.2">
      <c r="A8" s="2">
        <v>2</v>
      </c>
      <c r="B8" s="3">
        <v>80</v>
      </c>
      <c r="C8" s="2">
        <v>7</v>
      </c>
      <c r="D8" s="2">
        <v>10</v>
      </c>
      <c r="E8" s="2" t="s">
        <v>11</v>
      </c>
      <c r="F8" s="3" t="s">
        <v>11</v>
      </c>
    </row>
    <row r="9" spans="1:8" s="2" customFormat="1" x14ac:dyDescent="0.2">
      <c r="A9" s="2">
        <v>3</v>
      </c>
      <c r="B9" s="3">
        <v>80</v>
      </c>
      <c r="C9" s="2">
        <v>10</v>
      </c>
      <c r="D9" s="2">
        <v>7</v>
      </c>
      <c r="E9" s="2">
        <v>15</v>
      </c>
      <c r="F9" s="3">
        <v>10</v>
      </c>
    </row>
    <row r="10" spans="1:8" s="2" customFormat="1" x14ac:dyDescent="0.2">
      <c r="A10" s="2">
        <v>4</v>
      </c>
      <c r="B10" s="3">
        <v>80</v>
      </c>
      <c r="C10" s="2">
        <v>10</v>
      </c>
      <c r="D10" s="2">
        <v>7</v>
      </c>
      <c r="E10" s="2">
        <v>15</v>
      </c>
      <c r="F10" s="3">
        <v>10</v>
      </c>
    </row>
    <row r="11" spans="1:8" s="2" customFormat="1" x14ac:dyDescent="0.2">
      <c r="A11" s="2">
        <v>5</v>
      </c>
      <c r="B11" s="3">
        <v>80</v>
      </c>
      <c r="C11" s="2">
        <v>10</v>
      </c>
      <c r="D11" s="2">
        <v>7</v>
      </c>
      <c r="E11" s="2">
        <v>15</v>
      </c>
      <c r="F11" s="3">
        <v>10</v>
      </c>
      <c r="H11" s="2" t="s">
        <v>19</v>
      </c>
    </row>
    <row r="12" spans="1:8" s="2" customFormat="1" x14ac:dyDescent="0.2">
      <c r="A12" s="8">
        <v>6</v>
      </c>
      <c r="B12" s="9">
        <v>80</v>
      </c>
      <c r="C12" s="8">
        <v>7</v>
      </c>
      <c r="D12" s="8">
        <v>7</v>
      </c>
      <c r="E12" s="8">
        <v>10</v>
      </c>
      <c r="F12" s="9">
        <v>10</v>
      </c>
    </row>
    <row r="13" spans="1:8" x14ac:dyDescent="0.2">
      <c r="B13" s="4"/>
    </row>
    <row r="23" spans="1:6" x14ac:dyDescent="0.2">
      <c r="C23" s="1" t="s">
        <v>12</v>
      </c>
    </row>
    <row r="25" spans="1:6" x14ac:dyDescent="0.2">
      <c r="A25" t="s">
        <v>20</v>
      </c>
    </row>
    <row r="27" spans="1:6" x14ac:dyDescent="0.2">
      <c r="A27" s="24" t="s">
        <v>0</v>
      </c>
      <c r="B27" s="19" t="s">
        <v>1</v>
      </c>
      <c r="C27" s="22" t="s">
        <v>5</v>
      </c>
      <c r="D27" s="22"/>
      <c r="E27" s="22"/>
      <c r="F27" s="23"/>
    </row>
    <row r="28" spans="1:6" x14ac:dyDescent="0.2">
      <c r="A28" s="24"/>
      <c r="B28" s="19"/>
      <c r="C28" s="22" t="s">
        <v>9</v>
      </c>
      <c r="D28" s="22"/>
      <c r="E28" s="22"/>
      <c r="F28" s="23"/>
    </row>
    <row r="29" spans="1:6" x14ac:dyDescent="0.2">
      <c r="A29" s="24"/>
      <c r="B29" s="19"/>
      <c r="C29" s="10" t="s">
        <v>2</v>
      </c>
      <c r="D29" s="5" t="s">
        <v>3</v>
      </c>
      <c r="E29" s="5" t="s">
        <v>13</v>
      </c>
      <c r="F29" s="7" t="s">
        <v>14</v>
      </c>
    </row>
    <row r="30" spans="1:6" x14ac:dyDescent="0.2">
      <c r="A30" s="2">
        <v>0</v>
      </c>
      <c r="B30" s="3">
        <v>60</v>
      </c>
      <c r="C30" s="2">
        <v>7</v>
      </c>
      <c r="D30" s="2">
        <v>7</v>
      </c>
      <c r="E30" s="2">
        <v>10</v>
      </c>
      <c r="F30" s="3">
        <v>7</v>
      </c>
    </row>
    <row r="31" spans="1:6" x14ac:dyDescent="0.2">
      <c r="A31" s="2">
        <v>0</v>
      </c>
      <c r="B31" s="3">
        <v>80</v>
      </c>
      <c r="C31" s="2">
        <v>5</v>
      </c>
      <c r="D31" s="2">
        <v>7</v>
      </c>
      <c r="E31" s="2">
        <v>10</v>
      </c>
      <c r="F31" s="3">
        <v>10</v>
      </c>
    </row>
    <row r="32" spans="1:6" x14ac:dyDescent="0.2">
      <c r="A32">
        <v>0</v>
      </c>
      <c r="B32" s="4">
        <v>90</v>
      </c>
      <c r="C32">
        <v>5</v>
      </c>
      <c r="D32">
        <v>7</v>
      </c>
      <c r="E32">
        <v>10</v>
      </c>
      <c r="F32" s="4">
        <v>10</v>
      </c>
    </row>
    <row r="33" spans="1:6" x14ac:dyDescent="0.2">
      <c r="A33" s="2">
        <v>1</v>
      </c>
      <c r="B33" s="3">
        <v>80</v>
      </c>
      <c r="C33" s="2">
        <v>7</v>
      </c>
      <c r="D33" s="2">
        <v>5</v>
      </c>
      <c r="E33" s="2">
        <v>10</v>
      </c>
      <c r="F33" s="3">
        <v>7</v>
      </c>
    </row>
    <row r="34" spans="1:6" x14ac:dyDescent="0.2">
      <c r="A34" s="2">
        <v>2</v>
      </c>
      <c r="B34" s="3">
        <v>80</v>
      </c>
      <c r="C34" s="2">
        <v>5</v>
      </c>
      <c r="D34" s="2">
        <v>7</v>
      </c>
      <c r="E34" s="2">
        <v>15</v>
      </c>
      <c r="F34" s="3">
        <v>15</v>
      </c>
    </row>
    <row r="35" spans="1:6" x14ac:dyDescent="0.2">
      <c r="A35" s="2">
        <v>3</v>
      </c>
      <c r="B35" s="3">
        <v>80</v>
      </c>
      <c r="C35" s="2">
        <v>7</v>
      </c>
      <c r="D35" s="2">
        <v>5</v>
      </c>
      <c r="E35" s="2">
        <v>10</v>
      </c>
      <c r="F35" s="3">
        <v>7</v>
      </c>
    </row>
    <row r="36" spans="1:6" x14ac:dyDescent="0.2">
      <c r="A36" s="2">
        <v>4</v>
      </c>
      <c r="B36" s="3">
        <v>80</v>
      </c>
      <c r="C36" s="2">
        <v>7</v>
      </c>
      <c r="D36" s="2">
        <v>5</v>
      </c>
      <c r="E36" s="2">
        <v>10</v>
      </c>
      <c r="F36" s="3">
        <v>7</v>
      </c>
    </row>
    <row r="37" spans="1:6" x14ac:dyDescent="0.2">
      <c r="A37" s="2">
        <v>5</v>
      </c>
      <c r="B37" s="3">
        <v>80</v>
      </c>
      <c r="C37" s="2">
        <v>7</v>
      </c>
      <c r="D37" s="2">
        <v>5</v>
      </c>
      <c r="E37" s="2">
        <v>10</v>
      </c>
      <c r="F37" s="3">
        <v>7</v>
      </c>
    </row>
    <row r="38" spans="1:6" x14ac:dyDescent="0.2">
      <c r="A38" s="8">
        <v>6</v>
      </c>
      <c r="B38" s="9">
        <v>80</v>
      </c>
      <c r="C38" s="8">
        <v>5</v>
      </c>
      <c r="D38" s="8">
        <v>5</v>
      </c>
      <c r="E38" s="8">
        <v>7</v>
      </c>
      <c r="F38" s="9">
        <v>7</v>
      </c>
    </row>
  </sheetData>
  <mergeCells count="8">
    <mergeCell ref="C2:F2"/>
    <mergeCell ref="C1:F1"/>
    <mergeCell ref="A27:A29"/>
    <mergeCell ref="B27:B29"/>
    <mergeCell ref="C27:F27"/>
    <mergeCell ref="C28:F28"/>
    <mergeCell ref="A1:A3"/>
    <mergeCell ref="B1:B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D1E7B-A4B3-8C44-95BB-8ECB6D919CE9}">
  <dimension ref="A1:H40"/>
  <sheetViews>
    <sheetView topLeftCell="A20" zoomScale="107" workbookViewId="0">
      <selection activeCell="I30" sqref="I30"/>
    </sheetView>
  </sheetViews>
  <sheetFormatPr baseColWidth="10" defaultRowHeight="16" x14ac:dyDescent="0.2"/>
  <cols>
    <col min="3" max="3" width="23.6640625" bestFit="1" customWidth="1"/>
    <col min="4" max="4" width="24.5" bestFit="1" customWidth="1"/>
    <col min="5" max="5" width="18.83203125" bestFit="1" customWidth="1"/>
    <col min="6" max="6" width="23.5" customWidth="1"/>
  </cols>
  <sheetData>
    <row r="1" spans="1:8" x14ac:dyDescent="0.2">
      <c r="A1" s="16" t="s">
        <v>0</v>
      </c>
      <c r="B1" s="18" t="s">
        <v>1</v>
      </c>
      <c r="C1" s="20" t="s">
        <v>6</v>
      </c>
      <c r="D1" s="20"/>
      <c r="E1" s="20"/>
      <c r="F1" s="21"/>
    </row>
    <row r="2" spans="1:8" ht="16" customHeight="1" x14ac:dyDescent="0.2">
      <c r="A2" s="17"/>
      <c r="B2" s="19"/>
      <c r="C2" s="22" t="s">
        <v>8</v>
      </c>
      <c r="D2" s="22"/>
      <c r="E2" s="22"/>
      <c r="F2" s="23"/>
    </row>
    <row r="3" spans="1:8" x14ac:dyDescent="0.2">
      <c r="A3" s="17"/>
      <c r="B3" s="19"/>
      <c r="C3" s="10" t="s">
        <v>2</v>
      </c>
      <c r="D3" s="5" t="s">
        <v>3</v>
      </c>
      <c r="E3" s="5" t="s">
        <v>13</v>
      </c>
      <c r="F3" s="7" t="s">
        <v>14</v>
      </c>
    </row>
    <row r="4" spans="1:8" s="2" customFormat="1" x14ac:dyDescent="0.2">
      <c r="A4" s="11">
        <v>0</v>
      </c>
      <c r="B4" s="3">
        <v>60</v>
      </c>
      <c r="C4" s="2">
        <v>7</v>
      </c>
      <c r="D4" s="2">
        <v>7</v>
      </c>
      <c r="E4" s="12">
        <v>7</v>
      </c>
      <c r="F4" s="3">
        <v>7</v>
      </c>
    </row>
    <row r="5" spans="1:8" s="2" customFormat="1" x14ac:dyDescent="0.2">
      <c r="A5" s="11">
        <v>0</v>
      </c>
      <c r="B5" s="3">
        <v>80</v>
      </c>
      <c r="C5" s="2">
        <v>7</v>
      </c>
      <c r="D5" s="2">
        <v>7</v>
      </c>
      <c r="E5" s="12">
        <v>10</v>
      </c>
      <c r="F5" s="3">
        <v>7</v>
      </c>
      <c r="H5" s="2" t="s">
        <v>17</v>
      </c>
    </row>
    <row r="6" spans="1:8" x14ac:dyDescent="0.2">
      <c r="A6" s="13">
        <v>0</v>
      </c>
      <c r="B6" s="4">
        <v>90</v>
      </c>
      <c r="C6">
        <v>7</v>
      </c>
      <c r="D6">
        <v>7</v>
      </c>
      <c r="E6" s="14">
        <v>10</v>
      </c>
      <c r="F6" s="4">
        <v>7</v>
      </c>
      <c r="H6" t="s">
        <v>16</v>
      </c>
    </row>
    <row r="7" spans="1:8" s="2" customFormat="1" x14ac:dyDescent="0.2">
      <c r="A7" s="11">
        <v>1</v>
      </c>
      <c r="B7" s="3">
        <v>80</v>
      </c>
      <c r="C7" s="2">
        <v>7</v>
      </c>
      <c r="D7" s="2">
        <v>7</v>
      </c>
      <c r="E7" s="2">
        <v>7</v>
      </c>
      <c r="F7" s="3">
        <v>7</v>
      </c>
    </row>
    <row r="8" spans="1:8" s="2" customFormat="1" x14ac:dyDescent="0.2">
      <c r="A8" s="11">
        <v>2</v>
      </c>
      <c r="B8" s="3">
        <v>80</v>
      </c>
      <c r="C8" s="2">
        <v>7</v>
      </c>
      <c r="D8" s="2">
        <v>7</v>
      </c>
      <c r="E8" s="2">
        <v>10</v>
      </c>
      <c r="F8" s="3">
        <v>10</v>
      </c>
    </row>
    <row r="9" spans="1:8" s="2" customFormat="1" x14ac:dyDescent="0.2">
      <c r="A9" s="11">
        <v>3</v>
      </c>
      <c r="B9" s="3">
        <v>80</v>
      </c>
      <c r="C9" s="2">
        <v>7</v>
      </c>
      <c r="D9" s="2">
        <v>7</v>
      </c>
      <c r="E9" s="2">
        <v>7</v>
      </c>
      <c r="F9" s="3">
        <v>7</v>
      </c>
    </row>
    <row r="10" spans="1:8" s="2" customFormat="1" x14ac:dyDescent="0.2">
      <c r="A10" s="11">
        <v>4</v>
      </c>
      <c r="B10" s="3">
        <v>80</v>
      </c>
      <c r="C10" s="2">
        <v>7</v>
      </c>
      <c r="D10" s="2">
        <v>7</v>
      </c>
      <c r="E10" s="2">
        <v>10</v>
      </c>
      <c r="F10" s="3">
        <v>7</v>
      </c>
    </row>
    <row r="11" spans="1:8" s="2" customFormat="1" x14ac:dyDescent="0.2">
      <c r="A11" s="11">
        <v>5</v>
      </c>
      <c r="B11" s="3">
        <v>80</v>
      </c>
      <c r="C11" s="2">
        <v>7</v>
      </c>
      <c r="D11" s="2">
        <v>7</v>
      </c>
      <c r="E11" s="2">
        <v>10</v>
      </c>
      <c r="F11" s="3">
        <v>10</v>
      </c>
    </row>
    <row r="12" spans="1:8" s="2" customFormat="1" x14ac:dyDescent="0.2">
      <c r="A12" s="15">
        <v>6</v>
      </c>
      <c r="B12" s="9">
        <v>80</v>
      </c>
      <c r="C12" s="8">
        <v>7</v>
      </c>
      <c r="D12" s="8">
        <v>7</v>
      </c>
      <c r="E12" s="8">
        <v>7</v>
      </c>
      <c r="F12" s="9">
        <v>7</v>
      </c>
    </row>
    <row r="23" spans="1:6" x14ac:dyDescent="0.2">
      <c r="C23" s="1" t="s">
        <v>12</v>
      </c>
    </row>
    <row r="26" spans="1:6" x14ac:dyDescent="0.2">
      <c r="A26" t="s">
        <v>20</v>
      </c>
    </row>
    <row r="29" spans="1:6" x14ac:dyDescent="0.2">
      <c r="A29" s="16" t="s">
        <v>0</v>
      </c>
      <c r="B29" s="18" t="s">
        <v>1</v>
      </c>
      <c r="C29" s="20" t="s">
        <v>6</v>
      </c>
      <c r="D29" s="20"/>
      <c r="E29" s="20"/>
      <c r="F29" s="21"/>
    </row>
    <row r="30" spans="1:6" x14ac:dyDescent="0.2">
      <c r="A30" s="17"/>
      <c r="B30" s="19"/>
      <c r="C30" s="22" t="s">
        <v>8</v>
      </c>
      <c r="D30" s="22"/>
      <c r="E30" s="22"/>
      <c r="F30" s="23"/>
    </row>
    <row r="31" spans="1:6" x14ac:dyDescent="0.2">
      <c r="A31" s="17"/>
      <c r="B31" s="19"/>
      <c r="C31" s="10" t="s">
        <v>2</v>
      </c>
      <c r="D31" s="5" t="s">
        <v>3</v>
      </c>
      <c r="E31" s="5" t="s">
        <v>13</v>
      </c>
      <c r="F31" s="7" t="s">
        <v>14</v>
      </c>
    </row>
    <row r="32" spans="1:6" x14ac:dyDescent="0.2">
      <c r="A32" s="11">
        <v>0</v>
      </c>
      <c r="B32" s="3">
        <v>60</v>
      </c>
      <c r="C32" s="2">
        <v>5</v>
      </c>
      <c r="D32" s="2">
        <v>5</v>
      </c>
      <c r="E32" s="12">
        <v>5</v>
      </c>
      <c r="F32" s="3">
        <v>5</v>
      </c>
    </row>
    <row r="33" spans="1:6" x14ac:dyDescent="0.2">
      <c r="A33" s="11">
        <v>0</v>
      </c>
      <c r="B33" s="3">
        <v>80</v>
      </c>
      <c r="C33" s="2">
        <v>5</v>
      </c>
      <c r="D33" s="2">
        <v>5</v>
      </c>
      <c r="E33" s="12">
        <v>7</v>
      </c>
      <c r="F33" s="3">
        <v>5</v>
      </c>
    </row>
    <row r="34" spans="1:6" x14ac:dyDescent="0.2">
      <c r="A34" s="13">
        <v>0</v>
      </c>
      <c r="B34" s="4">
        <v>90</v>
      </c>
      <c r="C34">
        <v>5</v>
      </c>
      <c r="D34">
        <v>5</v>
      </c>
      <c r="E34" s="14">
        <v>7</v>
      </c>
      <c r="F34" s="4">
        <v>5</v>
      </c>
    </row>
    <row r="35" spans="1:6" x14ac:dyDescent="0.2">
      <c r="A35" s="11">
        <v>1</v>
      </c>
      <c r="B35" s="3">
        <v>80</v>
      </c>
      <c r="C35" s="2">
        <v>5</v>
      </c>
      <c r="D35" s="2">
        <v>5</v>
      </c>
      <c r="E35" s="2">
        <v>5</v>
      </c>
      <c r="F35" s="3">
        <v>5</v>
      </c>
    </row>
    <row r="36" spans="1:6" x14ac:dyDescent="0.2">
      <c r="A36" s="11">
        <v>2</v>
      </c>
      <c r="B36" s="3">
        <v>80</v>
      </c>
      <c r="C36" s="2">
        <v>5</v>
      </c>
      <c r="D36" s="2">
        <v>5</v>
      </c>
      <c r="E36" s="2">
        <v>7</v>
      </c>
      <c r="F36" s="3">
        <v>7</v>
      </c>
    </row>
    <row r="37" spans="1:6" x14ac:dyDescent="0.2">
      <c r="A37" s="11">
        <v>3</v>
      </c>
      <c r="B37" s="3">
        <v>80</v>
      </c>
      <c r="C37" s="2">
        <v>5</v>
      </c>
      <c r="D37" s="2">
        <v>5</v>
      </c>
      <c r="E37" s="2">
        <v>5</v>
      </c>
      <c r="F37" s="3">
        <v>5</v>
      </c>
    </row>
    <row r="38" spans="1:6" x14ac:dyDescent="0.2">
      <c r="A38" s="11">
        <v>4</v>
      </c>
      <c r="B38" s="3">
        <v>80</v>
      </c>
      <c r="C38" s="2">
        <v>5</v>
      </c>
      <c r="D38" s="2">
        <v>5</v>
      </c>
      <c r="E38" s="2">
        <v>7</v>
      </c>
      <c r="F38" s="3">
        <v>5</v>
      </c>
    </row>
    <row r="39" spans="1:6" x14ac:dyDescent="0.2">
      <c r="A39" s="11">
        <v>5</v>
      </c>
      <c r="B39" s="3">
        <v>80</v>
      </c>
      <c r="C39" s="2">
        <v>5</v>
      </c>
      <c r="D39" s="2">
        <v>5</v>
      </c>
      <c r="E39" s="2">
        <v>7</v>
      </c>
      <c r="F39" s="3">
        <v>7</v>
      </c>
    </row>
    <row r="40" spans="1:6" x14ac:dyDescent="0.2">
      <c r="A40" s="15">
        <v>6</v>
      </c>
      <c r="B40" s="9">
        <v>80</v>
      </c>
      <c r="C40" s="8">
        <v>5</v>
      </c>
      <c r="D40" s="8">
        <v>5</v>
      </c>
      <c r="E40" s="8">
        <v>5</v>
      </c>
      <c r="F40" s="9">
        <v>5</v>
      </c>
    </row>
  </sheetData>
  <mergeCells count="8">
    <mergeCell ref="A29:A31"/>
    <mergeCell ref="B29:B31"/>
    <mergeCell ref="C29:F29"/>
    <mergeCell ref="C30:F30"/>
    <mergeCell ref="A1:A3"/>
    <mergeCell ref="B1:B3"/>
    <mergeCell ref="C1:F1"/>
    <mergeCell ref="C2:F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E9F72-81B2-2B45-B694-1DDC71DD6899}">
  <dimension ref="H15"/>
  <sheetViews>
    <sheetView tabSelected="1" workbookViewId="0">
      <selection activeCell="H15" sqref="H15"/>
    </sheetView>
  </sheetViews>
  <sheetFormatPr baseColWidth="10" defaultRowHeight="16" x14ac:dyDescent="0.2"/>
  <sheetData>
    <row r="15" spans="8:8" x14ac:dyDescent="0.2">
      <c r="H15"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Full Population</vt:lpstr>
      <vt:lpstr>Vaccinated Individuals</vt:lpstr>
      <vt:lpstr>Unvacc. Vacc-elig individuals</vt:lpstr>
      <vt:lpstr>Elimination 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Fabian Sturman</dc:creator>
  <cp:lastModifiedBy>Fabian Sturman</cp:lastModifiedBy>
  <dcterms:created xsi:type="dcterms:W3CDTF">2026-07-23T15:28:11Z</dcterms:created>
  <dcterms:modified xsi:type="dcterms:W3CDTF">2026-07-28T15:22:05Z</dcterms:modified>
</cp:coreProperties>
</file>